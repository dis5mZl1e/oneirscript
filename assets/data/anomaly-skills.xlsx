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4a3b8223d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参数" sheetId="1" r:id="R7a3d1f1a2e3d48d2"/>
    <x:sheet xmlns:r="http://schemas.openxmlformats.org/officeDocument/2006/relationships" name="技能效果" sheetId="2" r:id="R6fa780138e53464f"/>
    <x:sheet xmlns:r="http://schemas.openxmlformats.org/officeDocument/2006/relationships" name="异象配置" sheetId="3" r:id="R7fa7b18a0c0840be"/>
    <x:sheet xmlns:r="http://schemas.openxmlformats.org/officeDocument/2006/relationships" name="演出预设" sheetId="4" r:id="Rf1b8e1f2f9e6430b"/>
    <x:sheet xmlns:r="http://schemas.openxmlformats.org/officeDocument/2006/relationships" name="调参规则" sheetId="5" r:id="Rcf40f145aa9a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%"/>
  </x:numFmts>
  <x:fonts count="6">
    <x:font>
      <x:sz val="11"/>
      <x:name val="Carlito"/>
    </x:font>
    <x:font>
      <x:sz val="10"/>
      <x:color rgb="FF22323F"/>
      <x:name val="Microsoft YaHei"/>
    </x:font>
    <x:font>
      <x:b/>
      <x:sz val="14"/>
      <x:color rgb="FF203343"/>
      <x:name val="Microsoft YaHei"/>
    </x:font>
    <x:font>
      <x:b/>
      <x:sz val="10"/>
      <x:color rgb="FFFFFFFF"/>
      <x:name val="Microsoft YaHei"/>
    </x:font>
    <x:font>
      <x:sz val="10"/>
      <x:color rgb="FF2366A1"/>
      <x:name val="Microsoft YaHei"/>
    </x:font>
    <x:font>
      <x:sz val="10"/>
      <x:color rgb="FF526C75"/>
      <x:name val="Microsoft YaHei"/>
    </x:font>
  </x:fonts>
  <x:fills count="24">
    <x:fill>
      <x:patternFill patternType="none"/>
    </x:fill>
    <x:fill>
      <x:patternFill patternType="gray125"/>
    </x:fill>
    <x:fill>
      <x:patternFill patternType="solid">
        <x:fgColor rgb="FFF0F5F7"/>
      </x:patternFill>
    </x:fill>
    <x:fill>
      <x:patternFill patternType="solid">
        <x:fgColor rgb="FF243F50"/>
      </x:patternFill>
    </x:fill>
    <x:fill>
      <x:patternFill patternType="solid">
        <x:fgColor rgb="FFBDE8EE"/>
      </x:patternFill>
    </x:fill>
    <x:fill>
      <x:patternFill patternType="solid">
        <x:fgColor rgb="FFF5D487"/>
      </x:patternFill>
    </x:fill>
    <x:fill>
      <x:patternFill patternType="solid">
        <x:fgColor rgb="FFEFB267"/>
      </x:patternFill>
    </x:fill>
    <x:fill>
      <x:patternFill patternType="solid">
        <x:fgColor rgb="FFFFE2A3"/>
      </x:patternFill>
    </x:fill>
    <x:fill>
      <x:patternFill patternType="solid">
        <x:fgColor rgb="FFBB90D6"/>
      </x:patternFill>
    </x:fill>
    <x:fill>
      <x:patternFill patternType="solid">
        <x:fgColor rgb="FFEFADC5"/>
      </x:patternFill>
    </x:fill>
    <x:fill>
      <x:patternFill patternType="solid">
        <x:fgColor rgb="FFA8CF96"/>
      </x:patternFill>
    </x:fill>
    <x:fill>
      <x:patternFill patternType="solid">
        <x:fgColor rgb="FFECD9A2"/>
      </x:patternFill>
    </x:fill>
    <x:fill>
      <x:patternFill patternType="solid">
        <x:fgColor rgb="FF8FA9DC"/>
      </x:patternFill>
    </x:fill>
    <x:fill>
      <x:patternFill patternType="solid">
        <x:fgColor rgb="FFC6B8EF"/>
      </x:patternFill>
    </x:fill>
    <x:fill>
      <x:patternFill patternType="solid">
        <x:fgColor rgb="FF93B9AE"/>
      </x:patternFill>
    </x:fill>
    <x:fill>
      <x:patternFill patternType="solid">
        <x:fgColor rgb="FFD6E3CB"/>
      </x:patternFill>
    </x:fill>
    <x:fill>
      <x:patternFill patternType="solid">
        <x:fgColor rgb="FFB6A8D5"/>
      </x:patternFill>
    </x:fill>
    <x:fill>
      <x:patternFill patternType="solid">
        <x:fgColor rgb="FFEADBFF"/>
      </x:patternFill>
    </x:fill>
    <x:fill>
      <x:patternFill patternType="solid">
        <x:fgColor rgb="FF7BAFB8"/>
      </x:patternFill>
    </x:fill>
    <x:fill>
      <x:patternFill patternType="solid">
        <x:fgColor rgb="FFB8D9DC"/>
      </x:patternFill>
    </x:fill>
    <x:fill>
      <x:patternFill patternType="solid">
        <x:fgColor rgb="FFD99150"/>
      </x:patternFill>
    </x:fill>
    <x:fill>
      <x:patternFill patternType="solid">
        <x:fgColor rgb="FFF5CF88"/>
      </x:patternFill>
    </x:fill>
    <x:fill>
      <x:patternFill patternType="solid">
        <x:fgColor rgb="FFD78A80"/>
      </x:patternFill>
    </x:fill>
    <x:fill>
      <x:patternFill patternType="solid">
        <x:fgColor rgb="FFF4DE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EB6BE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vertical="center" wrapText="1"/>
    </x:xf>
    <x:xf numFmtId="201" fontId="4" fillId="2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ac5355a824bf2" /><Relationship Type="http://schemas.openxmlformats.org/officeDocument/2006/relationships/theme" Target="/xl/theme/theme1.xml" Id="Ra9f0d4b59b0841a0" /><Relationship Type="http://schemas.openxmlformats.org/officeDocument/2006/relationships/sharedStrings" Target="/xl/sharedStrings.xml" Id="R75a4007f838347e2" /><Relationship Type="http://schemas.openxmlformats.org/officeDocument/2006/relationships/worksheet" Target="/xl/worksheets/sheet1.xml" Id="R7a3d1f1a2e3d48d2" /><Relationship Type="http://schemas.openxmlformats.org/officeDocument/2006/relationships/worksheet" Target="/xl/worksheets/sheet2.xml" Id="R6fa780138e53464f" /><Relationship Type="http://schemas.openxmlformats.org/officeDocument/2006/relationships/worksheet" Target="/xl/worksheets/sheet3.xml" Id="R7fa7b18a0c0840be" /><Relationship Type="http://schemas.openxmlformats.org/officeDocument/2006/relationships/worksheet" Target="/xl/worksheets/sheet4.xml" Id="Rf1b8e1f2f9e6430b" /><Relationship Type="http://schemas.openxmlformats.org/officeDocument/2006/relationships/worksheet" Target="/xl/worksheets/sheet5.xml" Id="Rcf40f145aa9a437b" /></Relationships>
</file>

<file path=xl/tables/table1.xml><?xml version="1.0" encoding="utf-8"?>
<x:table xmlns:x="http://schemas.openxmlformats.org/spreadsheetml/2006/main" id="2" name="ActiveSkillParams" displayName="ActiveSkillParams" ref="A5:S48" headerRowCount="1" totalsRowCount="0" totalsRowShown="0">
  <x:tableColumns count="19">
    <x:tableColumn id="1" name="技能ID"/>
    <x:tableColumn id="2" name="中文名"/>
    <x:tableColumn id="3" name="类型"/>
    <x:tableColumn id="4" name="默认阶级"/>
    <x:tableColumn id="5" name="CD回合"/>
    <x:tableColumn id="6" name="蓄力回合"/>
    <x:tableColumn id="7" name="施法距离"/>
    <x:tableColumn id="8" name="形状"/>
    <x:tableColumn id="9" name="格数上限"/>
    <x:tableColumn id="10" name="基础直接创伤"/>
    <x:tableColumn id="11" name="1–10层"/>
    <x:tableColumn id="12" name="11–20层"/>
    <x:tableColumn id="13" name="21–27层"/>
    <x:tableColumn id="14" name="28–30层"/>
    <x:tableColumn id="15" name="创伤渠道"/>
    <x:tableColumn id="16" name="场/征兆持续"/>
    <x:tableColumn id="17" name="恢复回合"/>
    <x:tableColumn id="18" name="演出预设"/>
    <x:tableColumn id="19" name="开发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ctiveSkillEffects" displayName="ActiveSkillEffects" ref="A5:F48" headerRowCount="1" totalsRowCount="0" totalsRowShown="0">
  <x:tableColumns count="6">
    <x:tableColumn id="1" name="技能ID"/>
    <x:tableColumn id="2" name="中文名"/>
    <x:tableColumn id="3" name="完整效果与叠加限制"/>
    <x:tableColumn id="4" name="合法施放条件"/>
    <x:tableColumn id="5" name="玩家反制"/>
    <x:tableColumn id="6" name="实现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AnomalyBindings" displayName="AnomalyBindings" ref="A5:Q61" headerRowCount="1" totalsRowCount="0" totalsRowShown="0">
  <x:tableColumns count="17">
    <x:tableColumn id="1" name="异象ID"/>
    <x:tableColumn id="2" name="现有中文名"/>
    <x:tableColumn id="3" name="所属阶级"/>
    <x:tableColumn id="4" name="主层起"/>
    <x:tableColumn id="5" name="主层止"/>
    <x:tableColumn id="6" name="现有完整度"/>
    <x:tableColumn id="7" name="现有普攻"/>
    <x:tableColumn id="8" name="主动1"/>
    <x:tableColumn id="9" name="主动2"/>
    <x:tableColumn id="10" name="主动3"/>
    <x:tableColumn id="11" name="主动4"/>
    <x:tableColumn id="12" name="主动数量"/>
    <x:tableColumn id="13" name="初次延迟"/>
    <x:tableColumn id="14" name="共享间隔"/>
    <x:tableColumn id="15" name="绑定覆写/阶段"/>
    <x:tableColumn id="16" name="旧机制迁移"/>
    <x:tableColumn id="17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killFxProfiles" displayName="SkillFxProfiles" ref="A5:N15" headerRowCount="1" totalsRowCount="0" totalsRowShown="0">
  <x:tableColumns count="14">
    <x:tableColumn id="1" name="预设ID"/>
    <x:tableColumn id="2" name="色彩角色"/>
    <x:tableColumn id="3" name="主色HEX"/>
    <x:tableColumn id="4" name="亮色HEX"/>
    <x:tableColumn id="5" name="主粒子"/>
    <x:tableColumn id="6" name="占终端列"/>
    <x:tableColumn id="7" name="预警高档字符格"/>
    <x:tableColumn id="8" name="预警低档字符格"/>
    <x:tableColumn id="9" name="释放高档字符格"/>
    <x:tableColumn id="10" name="释放低档字符格"/>
    <x:tableColumn id="11" name="入场秒"/>
    <x:tableColumn id="12" name="释放秒"/>
    <x:tableColumn id="13" name="收尾秒"/>
    <x:tableColumn id="14" name="范围提示与演员保护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SkillRules" displayName="SkillRules" ref="A5:E57" headerRowCount="1" totalsRowCount="0" totalsRowShown="0">
  <x:tableColumns count="5">
    <x:tableColumn id="1" name="参数/来源"/>
    <x:tableColumn id="2" name="输入值或路径"/>
    <x:tableColumn id="3" name="单位"/>
    <x:tableColumn id="4" name="口径与用途"/>
    <x:tableColumn id="5" name="状态/出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b23e6b491b4c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0159375499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18877c187a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c98dd2381048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f1351183d948c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9" hidden="0" customWidth="1"/>
    <x:col min="9" max="9" width="12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5" hidden="0" customWidth="1"/>
    <x:col min="17" max="17" width="12" hidden="0" customWidth="1"/>
    <x:col min="18" max="18" width="14" hidden="0" customWidth="1"/>
    <x:col min="19" max="19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7" customHeight="1">
      <x:c r="A2" s="2" t="str">
        <x:v>主动技能参数 · 43项</x:v>
      </x:c>
      <x:c r="B2" s="2"/>
      <x:c r="C2" s="2"/>
      <x:c r="D2" s="2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A4" s="29" t="str">
        <x:v>伤害列只含一次直接创伤；余电/灼伤另见效果。默认阶级示例；异象绑定覆写与所属阶级上限优先。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34" customHeight="1">
      <x:c r="A5" s="8" t="str">
        <x:v>技能ID</x:v>
      </x:c>
      <x:c r="B5" s="8" t="str">
        <x:v>中文名</x:v>
      </x:c>
      <x:c r="C5" s="8" t="str">
        <x:v>类型</x:v>
      </x:c>
      <x:c r="D5" s="8" t="str">
        <x:v>默认阶级</x:v>
      </x:c>
      <x:c r="E5" s="8" t="str">
        <x:v>CD回合</x:v>
      </x:c>
      <x:c r="F5" s="8" t="str">
        <x:v>蓄力回合</x:v>
      </x:c>
      <x:c r="G5" s="8" t="str">
        <x:v>施法距离</x:v>
      </x:c>
      <x:c r="H5" s="8" t="str">
        <x:v>形状</x:v>
      </x:c>
      <x:c r="I5" s="8" t="str">
        <x:v>格数上限</x:v>
      </x:c>
      <x:c r="J5" s="8" t="str">
        <x:v>基础直接创伤</x:v>
      </x:c>
      <x:c r="K5" s="8" t="str">
        <x:v>1–10层</x:v>
      </x:c>
      <x:c r="L5" s="8" t="str">
        <x:v>11–20层</x:v>
      </x:c>
      <x:c r="M5" s="8" t="str">
        <x:v>21–27层</x:v>
      </x:c>
      <x:c r="N5" s="8" t="str">
        <x:v>28–30层</x:v>
      </x:c>
      <x:c r="O5" s="8" t="str">
        <x:v>创伤渠道</x:v>
      </x:c>
      <x:c r="P5" s="8" t="str">
        <x:v>场/征兆持续</x:v>
      </x:c>
      <x:c r="Q5" s="8" t="str">
        <x:v>恢复回合</x:v>
      </x:c>
      <x:c r="R5" s="8" t="str">
        <x:v>演出预设</x:v>
      </x:c>
      <x:c r="S5" s="8" t="str">
        <x:v>开发状态</x:v>
      </x:c>
    </x:row>
    <x:row r="6" ht="34" customHeight="1">
      <x:c r="A6" s="6" t="str">
        <x:v>paper_dart</x:v>
      </x:c>
      <x:c r="B6" s="6" t="str">
        <x:v>折页穿针</x:v>
      </x:c>
      <x:c r="C6" s="6" t="str">
        <x:v>弹道</x:v>
      </x:c>
      <x:c r="D6" s="6" t="str">
        <x:v>普通</x:v>
      </x:c>
      <x:c r="E6" s="25" t="n">
        <x:v>6</x:v>
      </x:c>
      <x:c r="F6" s="25" t="n">
        <x:v>1</x:v>
      </x:c>
      <x:c r="G6" s="25" t="n">
        <x:v>4</x:v>
      </x:c>
      <x:c r="H6" s="9" t="str">
        <x:v>固定细线</x:v>
      </x:c>
      <x:c r="I6" s="25" t="n">
        <x:v>4</x:v>
      </x:c>
      <x:c r="J6" s="25" t="n">
        <x:v>1</x:v>
      </x:c>
      <x:c r="K6" s="27" t="n">
        <x:f>IF(J6=0,0,MIN(ROUNDUP(J6*'调参规则'!$B$6,0),'调参规则'!$B$10))</x:f>
        <x:v>1</x:v>
      </x:c>
      <x:c r="L6" s="27" t="n">
        <x:f>IF(J6=0,0,MIN(ROUNDUP(J6*'调参规则'!$B$7,0),'调参规则'!$B$11))</x:f>
        <x:v>2</x:v>
      </x:c>
      <x:c r="M6" s="27" t="n">
        <x:f>IF(J6=0,0,MIN(ROUNDUP(J6*'调参规则'!$B$8,0),'调参规则'!$B$12))</x:f>
        <x:v>2</x:v>
      </x:c>
      <x:c r="N6" s="27" t="n">
        <x:f>IF(J6=0,0,MIN(ROUNDUP(J6*'调参规则'!$B$9,0),'调参规则'!$B$13))</x:f>
        <x:v>2</x:v>
      </x:c>
      <x:c r="O6" s="6" t="str">
        <x:v>心智</x:v>
      </x:c>
      <x:c r="P6" s="25" t="n">
        <x:v>0</x:v>
      </x:c>
      <x:c r="Q6" s="25" t="n">
        <x:v>1</x:v>
      </x:c>
      <x:c r="R6" s="6" t="str">
        <x:v>needle</x:v>
      </x:c>
      <x:c r="S6" s="6" t="str">
        <x:v>建议值／未实装</x:v>
      </x:c>
    </x:row>
    <x:row r="7" ht="34" customHeight="1">
      <x:c r="A7" s="5" t="str">
        <x:v>fold_guard</x:v>
      </x:c>
      <x:c r="B7" s="5" t="str">
        <x:v>折面护身</x:v>
      </x:c>
      <x:c r="C7" s="5" t="str">
        <x:v>自身征兆</x:v>
      </x:c>
      <x:c r="D7" s="5" t="str">
        <x:v>普通</x:v>
      </x:c>
      <x:c r="E7" s="26" t="n">
        <x:v>9</x:v>
      </x:c>
      <x:c r="F7" s="26" t="n">
        <x:v>1</x:v>
      </x:c>
      <x:c r="G7" s="26" t="n">
        <x:v>0</x:v>
      </x:c>
      <x:c r="H7" s="10" t="str">
        <x:v>自身</x:v>
      </x:c>
      <x:c r="I7" s="26" t="n">
        <x:v>1</x:v>
      </x:c>
      <x:c r="J7" s="26" t="n">
        <x:v>0</x:v>
      </x:c>
      <x:c r="K7" s="28" t="n">
        <x:f>IF(J7=0,0,MIN(ROUNDUP(J7*'调参规则'!$B$6,0),'调参规则'!$B$10))</x:f>
        <x:v>0</x:v>
      </x:c>
      <x:c r="L7" s="28" t="n">
        <x:f>IF(J7=0,0,MIN(ROUNDUP(J7*'调参规则'!$B$7,0),'调参规则'!$B$11))</x:f>
        <x:v>0</x:v>
      </x:c>
      <x:c r="M7" s="28" t="n">
        <x:f>IF(J7=0,0,MIN(ROUNDUP(J7*'调参规则'!$B$8,0),'调参规则'!$B$12))</x:f>
        <x:v>0</x:v>
      </x:c>
      <x:c r="N7" s="28" t="n">
        <x:f>IF(J7=0,0,MIN(ROUNDUP(J7*'调参规则'!$B$9,0),'调参规则'!$B$13))</x:f>
        <x:v>0</x:v>
      </x:c>
      <x:c r="O7" s="5" t="str">
        <x:v>无</x:v>
      </x:c>
      <x:c r="P7" s="26" t="n">
        <x:v>2</x:v>
      </x:c>
      <x:c r="Q7" s="26" t="n">
        <x:v>1</x:v>
      </x:c>
      <x:c r="R7" s="5" t="str">
        <x:v>boon</x:v>
      </x:c>
      <x:c r="S7" s="5" t="str">
        <x:v>建议值／未实装</x:v>
      </x:c>
    </x:row>
    <x:row r="8" ht="34" customHeight="1">
      <x:c r="A8" s="6" t="str">
        <x:v>echo_alert</x:v>
      </x:c>
      <x:c r="B8" s="6" t="str">
        <x:v>点名回声</x:v>
      </x:c>
      <x:c r="C8" s="6" t="str">
        <x:v>支援</x:v>
      </x:c>
      <x:c r="D8" s="6" t="str">
        <x:v>普通</x:v>
      </x:c>
      <x:c r="E8" s="25" t="n">
        <x:v>10</x:v>
      </x:c>
      <x:c r="F8" s="25" t="n">
        <x:v>1</x:v>
      </x:c>
      <x:c r="G8" s="25" t="n">
        <x:v>3</x:v>
      </x:c>
      <x:c r="H8" s="9" t="str">
        <x:v>四邻声路</x:v>
      </x:c>
      <x:c r="I8" s="25" t="n">
        <x:v>9</x:v>
      </x:c>
      <x:c r="J8" s="25" t="n">
        <x:v>0</x:v>
      </x:c>
      <x:c r="K8" s="27" t="n">
        <x:f>IF(J8=0,0,MIN(ROUNDUP(J8*'调参规则'!$B$6,0),'调参规则'!$B$10))</x:f>
        <x:v>0</x:v>
      </x:c>
      <x:c r="L8" s="27" t="n">
        <x:f>IF(J8=0,0,MIN(ROUNDUP(J8*'调参规则'!$B$7,0),'调参规则'!$B$11))</x:f>
        <x:v>0</x:v>
      </x:c>
      <x:c r="M8" s="27" t="n">
        <x:f>IF(J8=0,0,MIN(ROUNDUP(J8*'调参规则'!$B$8,0),'调参规则'!$B$12))</x:f>
        <x:v>0</x:v>
      </x:c>
      <x:c r="N8" s="27" t="n">
        <x:f>IF(J8=0,0,MIN(ROUNDUP(J8*'调参规则'!$B$9,0),'调参规则'!$B$13))</x:f>
        <x:v>0</x:v>
      </x:c>
      <x:c r="O8" s="6" t="str">
        <x:v>无</x:v>
      </x:c>
      <x:c r="P8" s="25" t="n">
        <x:v>0</x:v>
      </x:c>
      <x:c r="Q8" s="25" t="n">
        <x:v>1</x:v>
      </x:c>
      <x:c r="R8" s="6" t="str">
        <x:v>sound</x:v>
      </x:c>
      <x:c r="S8" s="6" t="str">
        <x:v>建议值／未实装</x:v>
      </x:c>
    </x:row>
    <x:row r="9" ht="34" customHeight="1">
      <x:c r="A9" s="5" t="str">
        <x:v>model_push</x:v>
      </x:c>
      <x:c r="B9" s="5" t="str">
        <x:v>模型推移</x:v>
      </x:c>
      <x:c r="C9" s="5" t="str">
        <x:v>位移</x:v>
      </x:c>
      <x:c r="D9" s="5" t="str">
        <x:v>普通</x:v>
      </x:c>
      <x:c r="E9" s="26" t="n">
        <x:v>8</x:v>
      </x:c>
      <x:c r="F9" s="26" t="n">
        <x:v>1</x:v>
      </x:c>
      <x:c r="G9" s="26" t="n">
        <x:v>1</x:v>
      </x:c>
      <x:c r="H9" s="10" t="str">
        <x:v>固定邻格</x:v>
      </x:c>
      <x:c r="I9" s="26" t="n">
        <x:v>1</x:v>
      </x:c>
      <x:c r="J9" s="26" t="n">
        <x:v>1</x:v>
      </x:c>
      <x:c r="K9" s="28" t="n">
        <x:f>IF(J9=0,0,MIN(ROUNDUP(J9*'调参规则'!$B$6,0),'调参规则'!$B$10))</x:f>
        <x:v>1</x:v>
      </x:c>
      <x:c r="L9" s="28" t="n">
        <x:f>IF(J9=0,0,MIN(ROUNDUP(J9*'调参规则'!$B$7,0),'调参规则'!$B$11))</x:f>
        <x:v>2</x:v>
      </x:c>
      <x:c r="M9" s="28" t="n">
        <x:f>IF(J9=0,0,MIN(ROUNDUP(J9*'调参规则'!$B$8,0),'调参规则'!$B$12))</x:f>
        <x:v>2</x:v>
      </x:c>
      <x:c r="N9" s="28" t="n">
        <x:f>IF(J9=0,0,MIN(ROUNDUP(J9*'调参规则'!$B$9,0),'调参规则'!$B$13))</x:f>
        <x:v>2</x:v>
      </x:c>
      <x:c r="O9" s="5" t="str">
        <x:v>清醒</x:v>
      </x:c>
      <x:c r="P9" s="26" t="n">
        <x:v>0</x:v>
      </x:c>
      <x:c r="Q9" s="26" t="n">
        <x:v>1</x:v>
      </x:c>
      <x:c r="R9" s="5" t="str">
        <x:v>push</x:v>
      </x:c>
      <x:c r="S9" s="5" t="str">
        <x:v>建议值／未实装</x:v>
      </x:c>
    </x:row>
    <x:row r="10" ht="34" customHeight="1">
      <x:c r="A10" s="6" t="str">
        <x:v>cool_drain</x:v>
      </x:c>
      <x:c r="B10" s="6" t="str">
        <x:v>冷却抽离</x:v>
      </x:c>
      <x:c r="C10" s="6" t="str">
        <x:v>地形</x:v>
      </x:c>
      <x:c r="D10" s="6" t="str">
        <x:v>普通</x:v>
      </x:c>
      <x:c r="E10" s="25" t="n">
        <x:v>10</x:v>
      </x:c>
      <x:c r="F10" s="25" t="n">
        <x:v>1</x:v>
      </x:c>
      <x:c r="G10" s="25" t="n">
        <x:v>2</x:v>
      </x:c>
      <x:c r="H10" s="9" t="str">
        <x:v>固定十字</x:v>
      </x:c>
      <x:c r="I10" s="25" t="n">
        <x:v>5</x:v>
      </x:c>
      <x:c r="J10" s="25" t="n">
        <x:v>0</x:v>
      </x:c>
      <x:c r="K10" s="27" t="n">
        <x:f>IF(J10=0,0,MIN(ROUNDUP(J10*'调参规则'!$B$6,0),'调参规则'!$B$10))</x:f>
        <x:v>0</x:v>
      </x:c>
      <x:c r="L10" s="27" t="n">
        <x:f>IF(J10=0,0,MIN(ROUNDUP(J10*'调参规则'!$B$7,0),'调参规则'!$B$11))</x:f>
        <x:v>0</x:v>
      </x:c>
      <x:c r="M10" s="27" t="n">
        <x:f>IF(J10=0,0,MIN(ROUNDUP(J10*'调参规则'!$B$8,0),'调参规则'!$B$12))</x:f>
        <x:v>0</x:v>
      </x:c>
      <x:c r="N10" s="27" t="n">
        <x:f>IF(J10=0,0,MIN(ROUNDUP(J10*'调参规则'!$B$9,0),'调参规则'!$B$13))</x:f>
        <x:v>0</x:v>
      </x:c>
      <x:c r="O10" s="6" t="str">
        <x:v>无</x:v>
      </x:c>
      <x:c r="P10" s="25" t="n">
        <x:v>0</x:v>
      </x:c>
      <x:c r="Q10" s="25" t="n">
        <x:v>1</x:v>
      </x:c>
      <x:c r="R10" s="6" t="str">
        <x:v>terrain</x:v>
      </x:c>
      <x:c r="S10" s="6" t="str">
        <x:v>建议值／未实装</x:v>
      </x:c>
    </x:row>
    <x:row r="11" ht="34" customHeight="1">
      <x:c r="A11" s="5" t="str">
        <x:v>light_trace</x:v>
      </x:c>
      <x:c r="B11" s="5" t="str">
        <x:v>逆光划痕</x:v>
      </x:c>
      <x:c r="C11" s="5" t="str">
        <x:v>弹道</x:v>
      </x:c>
      <x:c r="D11" s="5" t="str">
        <x:v>普通</x:v>
      </x:c>
      <x:c r="E11" s="26" t="n">
        <x:v>7</x:v>
      </x:c>
      <x:c r="F11" s="26" t="n">
        <x:v>1</x:v>
      </x:c>
      <x:c r="G11" s="26" t="n">
        <x:v>4</x:v>
      </x:c>
      <x:c r="H11" s="10" t="str">
        <x:v>固定细线</x:v>
      </x:c>
      <x:c r="I11" s="26" t="n">
        <x:v>4</x:v>
      </x:c>
      <x:c r="J11" s="26" t="n">
        <x:v>2</x:v>
      </x:c>
      <x:c r="K11" s="28" t="n">
        <x:f>IF(J11=0,0,MIN(ROUNDUP(J11*'调参规则'!$B$6,0),'调参规则'!$B$10))</x:f>
        <x:v>2</x:v>
      </x:c>
      <x:c r="L11" s="28" t="n">
        <x:f>IF(J11=0,0,MIN(ROUNDUP(J11*'调参规则'!$B$7,0),'调参规则'!$B$11))</x:f>
        <x:v>3</x:v>
      </x:c>
      <x:c r="M11" s="28" t="n">
        <x:f>IF(J11=0,0,MIN(ROUNDUP(J11*'调参规则'!$B$8,0),'调参规则'!$B$12))</x:f>
        <x:v>3</x:v>
      </x:c>
      <x:c r="N11" s="28" t="n">
        <x:f>IF(J11=0,0,MIN(ROUNDUP(J11*'调参规则'!$B$9,0),'调参规则'!$B$13))</x:f>
        <x:v>4</x:v>
      </x:c>
      <x:c r="O11" s="5" t="str">
        <x:v>清醒</x:v>
      </x:c>
      <x:c r="P11" s="26" t="n">
        <x:v>0</x:v>
      </x:c>
      <x:c r="Q11" s="26" t="n">
        <x:v>1</x:v>
      </x:c>
      <x:c r="R11" s="5" t="str">
        <x:v>needle</x:v>
      </x:c>
      <x:c r="S11" s="5" t="str">
        <x:v>建议值／未实装</x:v>
      </x:c>
    </x:row>
    <x:row r="12" ht="34" customHeight="1">
      <x:c r="A12" s="6" t="str">
        <x:v>clock_drag</x:v>
      </x:c>
      <x:c r="B12" s="6" t="str">
        <x:v>迟到一拍</x:v>
      </x:c>
      <x:c r="C12" s="6" t="str">
        <x:v>负面征兆</x:v>
      </x:c>
      <x:c r="D12" s="6" t="str">
        <x:v>普通</x:v>
      </x:c>
      <x:c r="E12" s="25" t="n">
        <x:v>10</x:v>
      </x:c>
      <x:c r="F12" s="25" t="n">
        <x:v>1</x:v>
      </x:c>
      <x:c r="G12" s="25" t="n">
        <x:v>3</x:v>
      </x:c>
      <x:c r="H12" s="9" t="str">
        <x:v>固定十字</x:v>
      </x:c>
      <x:c r="I12" s="25" t="n">
        <x:v>5</x:v>
      </x:c>
      <x:c r="J12" s="25" t="n">
        <x:v>0</x:v>
      </x:c>
      <x:c r="K12" s="27" t="n">
        <x:f>IF(J12=0,0,MIN(ROUNDUP(J12*'调参规则'!$B$6,0),'调参规则'!$B$10))</x:f>
        <x:v>0</x:v>
      </x:c>
      <x:c r="L12" s="27" t="n">
        <x:f>IF(J12=0,0,MIN(ROUNDUP(J12*'调参规则'!$B$7,0),'调参规则'!$B$11))</x:f>
        <x:v>0</x:v>
      </x:c>
      <x:c r="M12" s="27" t="n">
        <x:f>IF(J12=0,0,MIN(ROUNDUP(J12*'调参规则'!$B$8,0),'调参规则'!$B$12))</x:f>
        <x:v>0</x:v>
      </x:c>
      <x:c r="N12" s="27" t="n">
        <x:f>IF(J12=0,0,MIN(ROUNDUP(J12*'调参规则'!$B$9,0),'调参规则'!$B$13))</x:f>
        <x:v>0</x:v>
      </x:c>
      <x:c r="O12" s="6" t="str">
        <x:v>无</x:v>
      </x:c>
      <x:c r="P12" s="25" t="n">
        <x:v>2</x:v>
      </x:c>
      <x:c r="Q12" s="25" t="n">
        <x:v>1</x:v>
      </x:c>
      <x:c r="R12" s="6" t="str">
        <x:v>hex</x:v>
      </x:c>
      <x:c r="S12" s="6" t="str">
        <x:v>建议值／未实装</x:v>
      </x:c>
    </x:row>
    <x:row r="13" ht="34" customHeight="1">
      <x:c r="A13" s="5" t="str">
        <x:v>mirror_swap</x:v>
      </x:c>
      <x:c r="B13" s="5" t="str">
        <x:v>镜侧迁步</x:v>
      </x:c>
      <x:c r="C13" s="5" t="str">
        <x:v>位移</x:v>
      </x:c>
      <x:c r="D13" s="5" t="str">
        <x:v>普通</x:v>
      </x:c>
      <x:c r="E13" s="26" t="n">
        <x:v>10</x:v>
      </x:c>
      <x:c r="F13" s="26" t="n">
        <x:v>1</x:v>
      </x:c>
      <x:c r="G13" s="26" t="n">
        <x:v>3</x:v>
      </x:c>
      <x:c r="H13" s="10" t="str">
        <x:v>目的单格</x:v>
      </x:c>
      <x:c r="I13" s="26" t="n">
        <x:v>1</x:v>
      </x:c>
      <x:c r="J13" s="26" t="n">
        <x:v>0</x:v>
      </x:c>
      <x:c r="K13" s="28" t="n">
        <x:f>IF(J13=0,0,MIN(ROUNDUP(J13*'调参规则'!$B$6,0),'调参规则'!$B$10))</x:f>
        <x:v>0</x:v>
      </x:c>
      <x:c r="L13" s="28" t="n">
        <x:f>IF(J13=0,0,MIN(ROUNDUP(J13*'调参规则'!$B$7,0),'调参规则'!$B$11))</x:f>
        <x:v>0</x:v>
      </x:c>
      <x:c r="M13" s="28" t="n">
        <x:f>IF(J13=0,0,MIN(ROUNDUP(J13*'调参规则'!$B$8,0),'调参规则'!$B$12))</x:f>
        <x:v>0</x:v>
      </x:c>
      <x:c r="N13" s="28" t="n">
        <x:f>IF(J13=0,0,MIN(ROUNDUP(J13*'调参规则'!$B$9,0),'调参规则'!$B$13))</x:f>
        <x:v>0</x:v>
      </x:c>
      <x:c r="O13" s="5" t="str">
        <x:v>无</x:v>
      </x:c>
      <x:c r="P13" s="26" t="n">
        <x:v>0</x:v>
      </x:c>
      <x:c r="Q13" s="26" t="n">
        <x:v>1</x:v>
      </x:c>
      <x:c r="R13" s="5" t="str">
        <x:v>fold</x:v>
      </x:c>
      <x:c r="S13" s="5" t="str">
        <x:v>建议值／未实装</x:v>
      </x:c>
    </x:row>
    <x:row r="14" ht="34" customHeight="1">
      <x:c r="A14" s="6" t="str">
        <x:v>seam_bind</x:v>
      </x:c>
      <x:c r="B14" s="6" t="str">
        <x:v>缝影</x:v>
      </x:c>
      <x:c r="C14" s="6" t="str">
        <x:v>负面征兆</x:v>
      </x:c>
      <x:c r="D14" s="6" t="str">
        <x:v>普通</x:v>
      </x:c>
      <x:c r="E14" s="25" t="n">
        <x:v>9</x:v>
      </x:c>
      <x:c r="F14" s="25" t="n">
        <x:v>1</x:v>
      </x:c>
      <x:c r="G14" s="25" t="n">
        <x:v>3</x:v>
      </x:c>
      <x:c r="H14" s="9" t="str">
        <x:v>固定单格</x:v>
      </x:c>
      <x:c r="I14" s="25" t="n">
        <x:v>1</x:v>
      </x:c>
      <x:c r="J14" s="25" t="n">
        <x:v>1</x:v>
      </x:c>
      <x:c r="K14" s="27" t="n">
        <x:f>IF(J14=0,0,MIN(ROUNDUP(J14*'调参规则'!$B$6,0),'调参规则'!$B$10))</x:f>
        <x:v>1</x:v>
      </x:c>
      <x:c r="L14" s="27" t="n">
        <x:f>IF(J14=0,0,MIN(ROUNDUP(J14*'调参规则'!$B$7,0),'调参规则'!$B$11))</x:f>
        <x:v>2</x:v>
      </x:c>
      <x:c r="M14" s="27" t="n">
        <x:f>IF(J14=0,0,MIN(ROUNDUP(J14*'调参规则'!$B$8,0),'调参规则'!$B$12))</x:f>
        <x:v>2</x:v>
      </x:c>
      <x:c r="N14" s="27" t="n">
        <x:f>IF(J14=0,0,MIN(ROUNDUP(J14*'调参规则'!$B$9,0),'调参规则'!$B$13))</x:f>
        <x:v>2</x:v>
      </x:c>
      <x:c r="O14" s="6" t="str">
        <x:v>心智</x:v>
      </x:c>
      <x:c r="P14" s="25" t="n">
        <x:v>1</x:v>
      </x:c>
      <x:c r="Q14" s="25" t="n">
        <x:v>1</x:v>
      </x:c>
      <x:c r="R14" s="6" t="str">
        <x:v>hex</x:v>
      </x:c>
      <x:c r="S14" s="6" t="str">
        <x:v>建议值／未实装</x:v>
      </x:c>
    </x:row>
    <x:row r="15" ht="34" customHeight="1">
      <x:c r="A15" s="5" t="str">
        <x:v>vine_grow</x:v>
      </x:c>
      <x:c r="B15" s="5" t="str">
        <x:v>盆中蔓延</x:v>
      </x:c>
      <x:c r="C15" s="5" t="str">
        <x:v>地形</x:v>
      </x:c>
      <x:c r="D15" s="5" t="str">
        <x:v>普通</x:v>
      </x:c>
      <x:c r="E15" s="26" t="n">
        <x:v>11</x:v>
      </x:c>
      <x:c r="F15" s="26" t="n">
        <x:v>1</x:v>
      </x:c>
      <x:c r="G15" s="26" t="n">
        <x:v>3</x:v>
      </x:c>
      <x:c r="H15" s="10" t="str">
        <x:v>稀疏邻格</x:v>
      </x:c>
      <x:c r="I15" s="26" t="n">
        <x:v>3</x:v>
      </x:c>
      <x:c r="J15" s="26" t="n">
        <x:v>0</x:v>
      </x:c>
      <x:c r="K15" s="28" t="n">
        <x:f>IF(J15=0,0,MIN(ROUNDUP(J15*'调参规则'!$B$6,0),'调参规则'!$B$10))</x:f>
        <x:v>0</x:v>
      </x:c>
      <x:c r="L15" s="28" t="n">
        <x:f>IF(J15=0,0,MIN(ROUNDUP(J15*'调参规则'!$B$7,0),'调参规则'!$B$11))</x:f>
        <x:v>0</x:v>
      </x:c>
      <x:c r="M15" s="28" t="n">
        <x:f>IF(J15=0,0,MIN(ROUNDUP(J15*'调参规则'!$B$8,0),'调参规则'!$B$12))</x:f>
        <x:v>0</x:v>
      </x:c>
      <x:c r="N15" s="28" t="n">
        <x:f>IF(J15=0,0,MIN(ROUNDUP(J15*'调参规则'!$B$9,0),'调参规则'!$B$13))</x:f>
        <x:v>0</x:v>
      </x:c>
      <x:c r="O15" s="5" t="str">
        <x:v>无</x:v>
      </x:c>
      <x:c r="P15" s="26" t="n">
        <x:v>3</x:v>
      </x:c>
      <x:c r="Q15" s="26" t="n">
        <x:v>1</x:v>
      </x:c>
      <x:c r="R15" s="5" t="str">
        <x:v>terrain</x:v>
      </x:c>
      <x:c r="S15" s="5" t="str">
        <x:v>建议值／未实装</x:v>
      </x:c>
    </x:row>
    <x:row r="16" ht="34" customHeight="1">
      <x:c r="A16" s="6" t="str">
        <x:v>mislabel</x:v>
      </x:c>
      <x:c r="B16" s="6" t="str">
        <x:v>错贴标签</x:v>
      </x:c>
      <x:c r="C16" s="6" t="str">
        <x:v>负面征兆</x:v>
      </x:c>
      <x:c r="D16" s="6" t="str">
        <x:v>普通</x:v>
      </x:c>
      <x:c r="E16" s="25" t="n">
        <x:v>10</x:v>
      </x:c>
      <x:c r="F16" s="25" t="n">
        <x:v>1</x:v>
      </x:c>
      <x:c r="G16" s="25" t="n">
        <x:v>4</x:v>
      </x:c>
      <x:c r="H16" s="9" t="str">
        <x:v>固定单格</x:v>
      </x:c>
      <x:c r="I16" s="25" t="n">
        <x:v>1</x:v>
      </x:c>
      <x:c r="J16" s="25" t="n">
        <x:v>0</x:v>
      </x:c>
      <x:c r="K16" s="27" t="n">
        <x:f>IF(J16=0,0,MIN(ROUNDUP(J16*'调参规则'!$B$6,0),'调参规则'!$B$10))</x:f>
        <x:v>0</x:v>
      </x:c>
      <x:c r="L16" s="27" t="n">
        <x:f>IF(J16=0,0,MIN(ROUNDUP(J16*'调参规则'!$B$7,0),'调参规则'!$B$11))</x:f>
        <x:v>0</x:v>
      </x:c>
      <x:c r="M16" s="27" t="n">
        <x:f>IF(J16=0,0,MIN(ROUNDUP(J16*'调参规则'!$B$8,0),'调参规则'!$B$12))</x:f>
        <x:v>0</x:v>
      </x:c>
      <x:c r="N16" s="27" t="n">
        <x:f>IF(J16=0,0,MIN(ROUNDUP(J16*'调参规则'!$B$9,0),'调参规则'!$B$13))</x:f>
        <x:v>0</x:v>
      </x:c>
      <x:c r="O16" s="6" t="str">
        <x:v>无</x:v>
      </x:c>
      <x:c r="P16" s="25" t="n">
        <x:v>2</x:v>
      </x:c>
      <x:c r="Q16" s="25" t="n">
        <x:v>1</x:v>
      </x:c>
      <x:c r="R16" s="6" t="str">
        <x:v>hex</x:v>
      </x:c>
      <x:c r="S16" s="6" t="str">
        <x:v>建议值／未实装</x:v>
      </x:c>
    </x:row>
    <x:row r="17" ht="34" customHeight="1">
      <x:c r="A17" s="5" t="str">
        <x:v>echo_dash</x:v>
      </x:c>
      <x:c r="B17" s="5" t="str">
        <x:v>抄写一步</x:v>
      </x:c>
      <x:c r="C17" s="5" t="str">
        <x:v>位移</x:v>
      </x:c>
      <x:c r="D17" s="5" t="str">
        <x:v>普通</x:v>
      </x:c>
      <x:c r="E17" s="26" t="n">
        <x:v>8</x:v>
      </x:c>
      <x:c r="F17" s="26" t="n">
        <x:v>1</x:v>
      </x:c>
      <x:c r="G17" s="26" t="n">
        <x:v>3</x:v>
      </x:c>
      <x:c r="H17" s="10" t="str">
        <x:v>固定细线</x:v>
      </x:c>
      <x:c r="I17" s="26" t="n">
        <x:v>3</x:v>
      </x:c>
      <x:c r="J17" s="26" t="n">
        <x:v>1</x:v>
      </x:c>
      <x:c r="K17" s="28" t="n">
        <x:f>IF(J17=0,0,MIN(ROUNDUP(J17*'调参规则'!$B$6,0),'调参规则'!$B$10))</x:f>
        <x:v>1</x:v>
      </x:c>
      <x:c r="L17" s="28" t="n">
        <x:f>IF(J17=0,0,MIN(ROUNDUP(J17*'调参规则'!$B$7,0),'调参规则'!$B$11))</x:f>
        <x:v>2</x:v>
      </x:c>
      <x:c r="M17" s="28" t="n">
        <x:f>IF(J17=0,0,MIN(ROUNDUP(J17*'调参规则'!$B$8,0),'调参规则'!$B$12))</x:f>
        <x:v>2</x:v>
      </x:c>
      <x:c r="N17" s="28" t="n">
        <x:f>IF(J17=0,0,MIN(ROUNDUP(J17*'调参规则'!$B$9,0),'调参规则'!$B$13))</x:f>
        <x:v>2</x:v>
      </x:c>
      <x:c r="O17" s="5" t="str">
        <x:v>清醒</x:v>
      </x:c>
      <x:c r="P17" s="26" t="n">
        <x:v>0</x:v>
      </x:c>
      <x:c r="Q17" s="26" t="n">
        <x:v>1</x:v>
      </x:c>
      <x:c r="R17" s="5" t="str">
        <x:v>push</x:v>
      </x:c>
      <x:c r="S17" s="5" t="str">
        <x:v>建议值／未实装</x:v>
      </x:c>
    </x:row>
    <x:row r="18" ht="34" customHeight="1">
      <x:c r="A18" s="6" t="str">
        <x:v>slow_pool</x:v>
      </x:c>
      <x:c r="B18" s="6" t="str">
        <x:v>迟帧光斑</x:v>
      </x:c>
      <x:c r="C18" s="6" t="str">
        <x:v>效果场</x:v>
      </x:c>
      <x:c r="D18" s="6" t="str">
        <x:v>普通</x:v>
      </x:c>
      <x:c r="E18" s="25" t="n">
        <x:v>10</x:v>
      </x:c>
      <x:c r="F18" s="25" t="n">
        <x:v>1</x:v>
      </x:c>
      <x:c r="G18" s="25" t="n">
        <x:v>4</x:v>
      </x:c>
      <x:c r="H18" s="9" t="str">
        <x:v>固定十字</x:v>
      </x:c>
      <x:c r="I18" s="25" t="n">
        <x:v>5</x:v>
      </x:c>
      <x:c r="J18" s="25" t="n">
        <x:v>0</x:v>
      </x:c>
      <x:c r="K18" s="27" t="n">
        <x:f>IF(J18=0,0,MIN(ROUNDUP(J18*'调参规则'!$B$6,0),'调参规则'!$B$10))</x:f>
        <x:v>0</x:v>
      </x:c>
      <x:c r="L18" s="27" t="n">
        <x:f>IF(J18=0,0,MIN(ROUNDUP(J18*'调参规则'!$B$7,0),'调参规则'!$B$11))</x:f>
        <x:v>0</x:v>
      </x:c>
      <x:c r="M18" s="27" t="n">
        <x:f>IF(J18=0,0,MIN(ROUNDUP(J18*'调参规则'!$B$8,0),'调参规则'!$B$12))</x:f>
        <x:v>0</x:v>
      </x:c>
      <x:c r="N18" s="27" t="n">
        <x:f>IF(J18=0,0,MIN(ROUNDUP(J18*'调参规则'!$B$9,0),'调参规则'!$B$13))</x:f>
        <x:v>0</x:v>
      </x:c>
      <x:c r="O18" s="6" t="str">
        <x:v>无</x:v>
      </x:c>
      <x:c r="P18" s="25" t="n">
        <x:v>2</x:v>
      </x:c>
      <x:c r="Q18" s="25" t="n">
        <x:v>1</x:v>
      </x:c>
      <x:c r="R18" s="6" t="str">
        <x:v>field</x:v>
      </x:c>
      <x:c r="S18" s="6" t="str">
        <x:v>建议值／未实装</x:v>
      </x:c>
    </x:row>
    <x:row r="19" ht="34" customHeight="1">
      <x:c r="A19" s="5" t="str">
        <x:v>return_charge</x:v>
      </x:c>
      <x:c r="B19" s="5" t="str">
        <x:v>折返冲刺</x:v>
      </x:c>
      <x:c r="C19" s="5" t="str">
        <x:v>位移</x:v>
      </x:c>
      <x:c r="D19" s="5" t="str">
        <x:v>普通</x:v>
      </x:c>
      <x:c r="E19" s="26" t="n">
        <x:v>9</x:v>
      </x:c>
      <x:c r="F19" s="26" t="n">
        <x:v>1</x:v>
      </x:c>
      <x:c r="G19" s="26" t="n">
        <x:v>4</x:v>
      </x:c>
      <x:c r="H19" s="10" t="str">
        <x:v>固定细线</x:v>
      </x:c>
      <x:c r="I19" s="26" t="n">
        <x:v>4</x:v>
      </x:c>
      <x:c r="J19" s="26" t="n">
        <x:v>2</x:v>
      </x:c>
      <x:c r="K19" s="28" t="n">
        <x:f>IF(J19=0,0,MIN(ROUNDUP(J19*'调参规则'!$B$6,0),'调参规则'!$B$10))</x:f>
        <x:v>2</x:v>
      </x:c>
      <x:c r="L19" s="28" t="n">
        <x:f>IF(J19=0,0,MIN(ROUNDUP(J19*'调参规则'!$B$7,0),'调参规则'!$B$11))</x:f>
        <x:v>3</x:v>
      </x:c>
      <x:c r="M19" s="28" t="n">
        <x:f>IF(J19=0,0,MIN(ROUNDUP(J19*'调参规则'!$B$8,0),'调参规则'!$B$12))</x:f>
        <x:v>3</x:v>
      </x:c>
      <x:c r="N19" s="28" t="n">
        <x:f>IF(J19=0,0,MIN(ROUNDUP(J19*'调参规则'!$B$9,0),'调参规则'!$B$13))</x:f>
        <x:v>4</x:v>
      </x:c>
      <x:c r="O19" s="5" t="str">
        <x:v>清醒</x:v>
      </x:c>
      <x:c r="P19" s="26" t="n">
        <x:v>0</x:v>
      </x:c>
      <x:c r="Q19" s="26" t="n">
        <x:v>1</x:v>
      </x:c>
      <x:c r="R19" s="5" t="str">
        <x:v>push</x:v>
      </x:c>
      <x:c r="S19" s="5" t="str">
        <x:v>建议值／未实装</x:v>
      </x:c>
    </x:row>
    <x:row r="20" ht="34" customHeight="1">
      <x:c r="A20" s="6" t="str">
        <x:v>mind_bite</x:v>
      </x:c>
      <x:c r="B20" s="6" t="str">
        <x:v>噬念细线</x:v>
      </x:c>
      <x:c r="C20" s="6" t="str">
        <x:v>弹道</x:v>
      </x:c>
      <x:c r="D20" s="6" t="str">
        <x:v>普通</x:v>
      </x:c>
      <x:c r="E20" s="25" t="n">
        <x:v>9</x:v>
      </x:c>
      <x:c r="F20" s="25" t="n">
        <x:v>1</x:v>
      </x:c>
      <x:c r="G20" s="25" t="n">
        <x:v>4</x:v>
      </x:c>
      <x:c r="H20" s="9" t="str">
        <x:v>固定细线</x:v>
      </x:c>
      <x:c r="I20" s="25" t="n">
        <x:v>4</x:v>
      </x:c>
      <x:c r="J20" s="25" t="n">
        <x:v>2</x:v>
      </x:c>
      <x:c r="K20" s="27" t="n">
        <x:f>IF(J20=0,0,MIN(ROUNDUP(J20*'调参规则'!$B$6,0),'调参规则'!$B$10))</x:f>
        <x:v>2</x:v>
      </x:c>
      <x:c r="L20" s="27" t="n">
        <x:f>IF(J20=0,0,MIN(ROUNDUP(J20*'调参规则'!$B$7,0),'调参规则'!$B$11))</x:f>
        <x:v>3</x:v>
      </x:c>
      <x:c r="M20" s="27" t="n">
        <x:f>IF(J20=0,0,MIN(ROUNDUP(J20*'调参规则'!$B$8,0),'调参规则'!$B$12))</x:f>
        <x:v>3</x:v>
      </x:c>
      <x:c r="N20" s="27" t="n">
        <x:f>IF(J20=0,0,MIN(ROUNDUP(J20*'调参规则'!$B$9,0),'调参规则'!$B$13))</x:f>
        <x:v>4</x:v>
      </x:c>
      <x:c r="O20" s="6" t="str">
        <x:v>心智</x:v>
      </x:c>
      <x:c r="P20" s="25" t="n">
        <x:v>0</x:v>
      </x:c>
      <x:c r="Q20" s="25" t="n">
        <x:v>1</x:v>
      </x:c>
      <x:c r="R20" s="6" t="str">
        <x:v>needle</x:v>
      </x:c>
      <x:c r="S20" s="6" t="str">
        <x:v>建议值／未实装</x:v>
      </x:c>
    </x:row>
    <x:row r="21" ht="34" customHeight="1">
      <x:c r="A21" s="5" t="str">
        <x:v>shadow_step</x:v>
      </x:c>
      <x:c r="B21" s="5" t="str">
        <x:v>无面潜步</x:v>
      </x:c>
      <x:c r="C21" s="5" t="str">
        <x:v>自身征兆</x:v>
      </x:c>
      <x:c r="D21" s="5" t="str">
        <x:v>普通</x:v>
      </x:c>
      <x:c r="E21" s="26" t="n">
        <x:v>11</x:v>
      </x:c>
      <x:c r="F21" s="26" t="n">
        <x:v>1</x:v>
      </x:c>
      <x:c r="G21" s="26" t="n">
        <x:v>0</x:v>
      </x:c>
      <x:c r="H21" s="10" t="str">
        <x:v>自身</x:v>
      </x:c>
      <x:c r="I21" s="26" t="n">
        <x:v>1</x:v>
      </x:c>
      <x:c r="J21" s="26" t="n">
        <x:v>0</x:v>
      </x:c>
      <x:c r="K21" s="28" t="n">
        <x:f>IF(J21=0,0,MIN(ROUNDUP(J21*'调参规则'!$B$6,0),'调参规则'!$B$10))</x:f>
        <x:v>0</x:v>
      </x:c>
      <x:c r="L21" s="28" t="n">
        <x:f>IF(J21=0,0,MIN(ROUNDUP(J21*'调参规则'!$B$7,0),'调参规则'!$B$11))</x:f>
        <x:v>0</x:v>
      </x:c>
      <x:c r="M21" s="28" t="n">
        <x:f>IF(J21=0,0,MIN(ROUNDUP(J21*'调参规则'!$B$8,0),'调参规则'!$B$12))</x:f>
        <x:v>0</x:v>
      </x:c>
      <x:c r="N21" s="28" t="n">
        <x:f>IF(J21=0,0,MIN(ROUNDUP(J21*'调参规则'!$B$9,0),'调参规则'!$B$13))</x:f>
        <x:v>0</x:v>
      </x:c>
      <x:c r="O21" s="5" t="str">
        <x:v>无</x:v>
      </x:c>
      <x:c r="P21" s="26" t="n">
        <x:v>2</x:v>
      </x:c>
      <x:c r="Q21" s="26" t="n">
        <x:v>1</x:v>
      </x:c>
      <x:c r="R21" s="5" t="str">
        <x:v>fold</x:v>
      </x:c>
      <x:c r="S21" s="5" t="str">
        <x:v>建议值／未实装</x:v>
      </x:c>
    </x:row>
    <x:row r="22" ht="34" customHeight="1">
      <x:c r="A22" s="6" t="str">
        <x:v>ink_pool</x:v>
      </x:c>
      <x:c r="B22" s="6" t="str">
        <x:v>倾墨</x:v>
      </x:c>
      <x:c r="C22" s="6" t="str">
        <x:v>效果场</x:v>
      </x:c>
      <x:c r="D22" s="6" t="str">
        <x:v>普通</x:v>
      </x:c>
      <x:c r="E22" s="25" t="n">
        <x:v>12</x:v>
      </x:c>
      <x:c r="F22" s="25" t="n">
        <x:v>1</x:v>
      </x:c>
      <x:c r="G22" s="25" t="n">
        <x:v>3</x:v>
      </x:c>
      <x:c r="H22" s="9" t="str">
        <x:v>固定十字</x:v>
      </x:c>
      <x:c r="I22" s="25" t="n">
        <x:v>5</x:v>
      </x:c>
      <x:c r="J22" s="25" t="n">
        <x:v>0</x:v>
      </x:c>
      <x:c r="K22" s="27" t="n">
        <x:f>IF(J22=0,0,MIN(ROUNDUP(J22*'调参规则'!$B$6,0),'调参规则'!$B$10))</x:f>
        <x:v>0</x:v>
      </x:c>
      <x:c r="L22" s="27" t="n">
        <x:f>IF(J22=0,0,MIN(ROUNDUP(J22*'调参规则'!$B$7,0),'调参规则'!$B$11))</x:f>
        <x:v>0</x:v>
      </x:c>
      <x:c r="M22" s="27" t="n">
        <x:f>IF(J22=0,0,MIN(ROUNDUP(J22*'调参规则'!$B$8,0),'调参规则'!$B$12))</x:f>
        <x:v>0</x:v>
      </x:c>
      <x:c r="N22" s="27" t="n">
        <x:f>IF(J22=0,0,MIN(ROUNDUP(J22*'调参规则'!$B$9,0),'调参规则'!$B$13))</x:f>
        <x:v>0</x:v>
      </x:c>
      <x:c r="O22" s="6" t="str">
        <x:v>无</x:v>
      </x:c>
      <x:c r="P22" s="25" t="n">
        <x:v>2</x:v>
      </x:c>
      <x:c r="Q22" s="25" t="n">
        <x:v>1</x:v>
      </x:c>
      <x:c r="R22" s="6" t="str">
        <x:v>field</x:v>
      </x:c>
      <x:c r="S22" s="6" t="str">
        <x:v>建议值／未实装</x:v>
      </x:c>
    </x:row>
    <x:row r="23" ht="34" customHeight="1">
      <x:c r="A23" s="5" t="str">
        <x:v>lullaby</x:v>
      </x:c>
      <x:c r="B23" s="5" t="str">
        <x:v>断续摇篮曲</x:v>
      </x:c>
      <x:c r="C23" s="5" t="str">
        <x:v>负面征兆</x:v>
      </x:c>
      <x:c r="D23" s="5" t="str">
        <x:v>普通</x:v>
      </x:c>
      <x:c r="E23" s="26" t="n">
        <x:v>12</x:v>
      </x:c>
      <x:c r="F23" s="26" t="n">
        <x:v>2</x:v>
      </x:c>
      <x:c r="G23" s="26" t="n">
        <x:v>4</x:v>
      </x:c>
      <x:c r="H23" s="10" t="str">
        <x:v>固定十字</x:v>
      </x:c>
      <x:c r="I23" s="26" t="n">
        <x:v>5</x:v>
      </x:c>
      <x:c r="J23" s="26" t="n">
        <x:v>0</x:v>
      </x:c>
      <x:c r="K23" s="28" t="n">
        <x:f>IF(J23=0,0,MIN(ROUNDUP(J23*'调参规则'!$B$6,0),'调参规则'!$B$10))</x:f>
        <x:v>0</x:v>
      </x:c>
      <x:c r="L23" s="28" t="n">
        <x:f>IF(J23=0,0,MIN(ROUNDUP(J23*'调参规则'!$B$7,0),'调参规则'!$B$11))</x:f>
        <x:v>0</x:v>
      </x:c>
      <x:c r="M23" s="28" t="n">
        <x:f>IF(J23=0,0,MIN(ROUNDUP(J23*'调参规则'!$B$8,0),'调参规则'!$B$12))</x:f>
        <x:v>0</x:v>
      </x:c>
      <x:c r="N23" s="28" t="n">
        <x:f>IF(J23=0,0,MIN(ROUNDUP(J23*'调参规则'!$B$9,0),'调参规则'!$B$13))</x:f>
        <x:v>0</x:v>
      </x:c>
      <x:c r="O23" s="5" t="str">
        <x:v>无</x:v>
      </x:c>
      <x:c r="P23" s="26" t="n">
        <x:v>1</x:v>
      </x:c>
      <x:c r="Q23" s="26" t="n">
        <x:v>1</x:v>
      </x:c>
      <x:c r="R23" s="5" t="str">
        <x:v>sound</x:v>
      </x:c>
      <x:c r="S23" s="5" t="str">
        <x:v>建议值／未实装</x:v>
      </x:c>
    </x:row>
    <x:row r="24" ht="34" customHeight="1">
      <x:c r="A24" s="6" t="str">
        <x:v>wake_allies</x:v>
      </x:c>
      <x:c r="B24" s="6" t="str">
        <x:v>牧梦指引</x:v>
      </x:c>
      <x:c r="C24" s="6" t="str">
        <x:v>支援征兆</x:v>
      </x:c>
      <x:c r="D24" s="6" t="str">
        <x:v>普通</x:v>
      </x:c>
      <x:c r="E24" s="25" t="n">
        <x:v>12</x:v>
      </x:c>
      <x:c r="F24" s="25" t="n">
        <x:v>1</x:v>
      </x:c>
      <x:c r="G24" s="25" t="n">
        <x:v>3</x:v>
      </x:c>
      <x:c r="H24" s="9" t="str">
        <x:v>同伴最多2名</x:v>
      </x:c>
      <x:c r="I24" s="25" t="n">
        <x:v>2</x:v>
      </x:c>
      <x:c r="J24" s="25" t="n">
        <x:v>0</x:v>
      </x:c>
      <x:c r="K24" s="27" t="n">
        <x:f>IF(J24=0,0,MIN(ROUNDUP(J24*'调参规则'!$B$6,0),'调参规则'!$B$10))</x:f>
        <x:v>0</x:v>
      </x:c>
      <x:c r="L24" s="27" t="n">
        <x:f>IF(J24=0,0,MIN(ROUNDUP(J24*'调参规则'!$B$7,0),'调参规则'!$B$11))</x:f>
        <x:v>0</x:v>
      </x:c>
      <x:c r="M24" s="27" t="n">
        <x:f>IF(J24=0,0,MIN(ROUNDUP(J24*'调参规则'!$B$8,0),'调参规则'!$B$12))</x:f>
        <x:v>0</x:v>
      </x:c>
      <x:c r="N24" s="27" t="n">
        <x:f>IF(J24=0,0,MIN(ROUNDUP(J24*'调参规则'!$B$9,0),'调参规则'!$B$13))</x:f>
        <x:v>0</x:v>
      </x:c>
      <x:c r="O24" s="6" t="str">
        <x:v>无</x:v>
      </x:c>
      <x:c r="P24" s="25" t="n">
        <x:v>2</x:v>
      </x:c>
      <x:c r="Q24" s="25" t="n">
        <x:v>1</x:v>
      </x:c>
      <x:c r="R24" s="6" t="str">
        <x:v>boon</x:v>
      </x:c>
      <x:c r="S24" s="6" t="str">
        <x:v>建议值／未实装</x:v>
      </x:c>
    </x:row>
    <x:row r="25" ht="34" customHeight="1">
      <x:c r="A25" s="5" t="str">
        <x:v>fire_seed</x:v>
      </x:c>
      <x:c r="B25" s="5" t="str">
        <x:v>三点焚歌</x:v>
      </x:c>
      <x:c r="C25" s="5" t="str">
        <x:v>火焰场</x:v>
      </x:c>
      <x:c r="D25" s="5" t="str">
        <x:v>普通</x:v>
      </x:c>
      <x:c r="E25" s="26" t="n">
        <x:v>11</x:v>
      </x:c>
      <x:c r="F25" s="26" t="n">
        <x:v>1</x:v>
      </x:c>
      <x:c r="G25" s="26" t="n">
        <x:v>4</x:v>
      </x:c>
      <x:c r="H25" s="10" t="str">
        <x:v>固定短横线</x:v>
      </x:c>
      <x:c r="I25" s="26" t="n">
        <x:v>3</x:v>
      </x:c>
      <x:c r="J25" s="26" t="n">
        <x:v>0</x:v>
      </x:c>
      <x:c r="K25" s="28" t="n">
        <x:f>IF(J25=0,0,MIN(ROUNDUP(J25*'调参规则'!$B$6,0),'调参规则'!$B$10))</x:f>
        <x:v>0</x:v>
      </x:c>
      <x:c r="L25" s="28" t="n">
        <x:f>IF(J25=0,0,MIN(ROUNDUP(J25*'调参规则'!$B$7,0),'调参规则'!$B$11))</x:f>
        <x:v>0</x:v>
      </x:c>
      <x:c r="M25" s="28" t="n">
        <x:f>IF(J25=0,0,MIN(ROUNDUP(J25*'调参规则'!$B$8,0),'调参规则'!$B$12))</x:f>
        <x:v>0</x:v>
      </x:c>
      <x:c r="N25" s="28" t="n">
        <x:f>IF(J25=0,0,MIN(ROUNDUP(J25*'调参规则'!$B$9,0),'调参规则'!$B$13))</x:f>
        <x:v>0</x:v>
      </x:c>
      <x:c r="O25" s="5" t="str">
        <x:v>无</x:v>
      </x:c>
      <x:c r="P25" s="26" t="n">
        <x:v>2</x:v>
      </x:c>
      <x:c r="Q25" s="26" t="n">
        <x:v>1</x:v>
      </x:c>
      <x:c r="R25" s="5" t="str">
        <x:v>fire</x:v>
      </x:c>
      <x:c r="S25" s="5" t="str">
        <x:v>建议值／未实装</x:v>
      </x:c>
    </x:row>
    <x:row r="26" ht="34" customHeight="1">
      <x:c r="A26" s="6" t="str">
        <x:v>electric_stitch</x:v>
      </x:c>
      <x:c r="B26" s="6" t="str">
        <x:v>导忆电针</x:v>
      </x:c>
      <x:c r="C26" s="6" t="str">
        <x:v>电场</x:v>
      </x:c>
      <x:c r="D26" s="6" t="str">
        <x:v>强烈</x:v>
      </x:c>
      <x:c r="E26" s="25" t="n">
        <x:v>13</x:v>
      </x:c>
      <x:c r="F26" s="25" t="n">
        <x:v>2</x:v>
      </x:c>
      <x:c r="G26" s="25" t="n">
        <x:v>4</x:v>
      </x:c>
      <x:c r="H26" s="9" t="str">
        <x:v>四邻导电连通区</x:v>
      </x:c>
      <x:c r="I26" s="25" t="n">
        <x:v>6</x:v>
      </x:c>
      <x:c r="J26" s="25" t="n">
        <x:v>1</x:v>
      </x:c>
      <x:c r="K26" s="27" t="n">
        <x:f>IF(J26=0,0,MIN(ROUNDUP(J26*'调参规则'!$B$6,0),'调参规则'!$B$14))</x:f>
        <x:v>1</x:v>
      </x:c>
      <x:c r="L26" s="27" t="n">
        <x:f>IF(J26=0,0,MIN(ROUNDUP(J26*'调参规则'!$B$7,0),'调参规则'!$B$15))</x:f>
        <x:v>2</x:v>
      </x:c>
      <x:c r="M26" s="27" t="n">
        <x:f>IF(J26=0,0,MIN(ROUNDUP(J26*'调参规则'!$B$8,0),'调参规则'!$B$16))</x:f>
        <x:v>2</x:v>
      </x:c>
      <x:c r="N26" s="27" t="n">
        <x:f>IF(J26=0,0,MIN(ROUNDUP(J26*'调参规则'!$B$9,0),'调参规则'!$B$17))</x:f>
        <x:v>2</x:v>
      </x:c>
      <x:c r="O26" s="6" t="str">
        <x:v>清醒</x:v>
      </x:c>
      <x:c r="P26" s="25" t="n">
        <x:v>2</x:v>
      </x:c>
      <x:c r="Q26" s="25" t="n">
        <x:v>1</x:v>
      </x:c>
      <x:c r="R26" s="6" t="str">
        <x:v>field</x:v>
      </x:c>
      <x:c r="S26" s="6" t="str">
        <x:v>建议值／未实装</x:v>
      </x:c>
    </x:row>
    <x:row r="27" ht="34" customHeight="1">
      <x:c r="A27" s="5" t="str">
        <x:v>gift_bomb</x:v>
      </x:c>
      <x:c r="B27" s="5" t="str">
        <x:v>拆封爆点</x:v>
      </x:c>
      <x:c r="C27" s="5" t="str">
        <x:v>爆炸</x:v>
      </x:c>
      <x:c r="D27" s="5" t="str">
        <x:v>普通</x:v>
      </x:c>
      <x:c r="E27" s="26" t="n">
        <x:v>12</x:v>
      </x:c>
      <x:c r="F27" s="26" t="n">
        <x:v>2</x:v>
      </x:c>
      <x:c r="G27" s="26" t="n">
        <x:v>5</x:v>
      </x:c>
      <x:c r="H27" s="10" t="str">
        <x:v>固定曼哈顿半径1</x:v>
      </x:c>
      <x:c r="I27" s="26" t="n">
        <x:v>5</x:v>
      </x:c>
      <x:c r="J27" s="26" t="n">
        <x:v>2</x:v>
      </x:c>
      <x:c r="K27" s="28" t="n">
        <x:f>IF(J27=0,0,MIN(ROUNDUP(J27*'调参规则'!$B$6,0),'调参规则'!$B$10))</x:f>
        <x:v>2</x:v>
      </x:c>
      <x:c r="L27" s="28" t="n">
        <x:f>IF(J27=0,0,MIN(ROUNDUP(J27*'调参规则'!$B$7,0),'调参规则'!$B$11))</x:f>
        <x:v>3</x:v>
      </x:c>
      <x:c r="M27" s="28" t="n">
        <x:f>IF(J27=0,0,MIN(ROUNDUP(J27*'调参规则'!$B$8,0),'调参规则'!$B$12))</x:f>
        <x:v>3</x:v>
      </x:c>
      <x:c r="N27" s="28" t="n">
        <x:f>IF(J27=0,0,MIN(ROUNDUP(J27*'调参规则'!$B$9,0),'调参规则'!$B$13))</x:f>
        <x:v>4</x:v>
      </x:c>
      <x:c r="O27" s="5" t="str">
        <x:v>清醒</x:v>
      </x:c>
      <x:c r="P27" s="26" t="n">
        <x:v>0</x:v>
      </x:c>
      <x:c r="Q27" s="26" t="n">
        <x:v>1</x:v>
      </x:c>
      <x:c r="R27" s="5" t="str">
        <x:v>blast</x:v>
      </x:c>
      <x:c r="S27" s="5" t="str">
        <x:v>建议值／未实装</x:v>
      </x:c>
    </x:row>
    <x:row r="28" ht="34" customHeight="1">
      <x:c r="A28" s="6" t="str">
        <x:v>fog_veil</x:v>
      </x:c>
      <x:c r="B28" s="6" t="str">
        <x:v>小口雾幕</x:v>
      </x:c>
      <x:c r="C28" s="6" t="str">
        <x:v>效果场</x:v>
      </x:c>
      <x:c r="D28" s="6" t="str">
        <x:v>普通</x:v>
      </x:c>
      <x:c r="E28" s="25" t="n">
        <x:v>11</x:v>
      </x:c>
      <x:c r="F28" s="25" t="n">
        <x:v>1</x:v>
      </x:c>
      <x:c r="G28" s="25" t="n">
        <x:v>3</x:v>
      </x:c>
      <x:c r="H28" s="9" t="str">
        <x:v>固定十字</x:v>
      </x:c>
      <x:c r="I28" s="25" t="n">
        <x:v>5</x:v>
      </x:c>
      <x:c r="J28" s="25" t="n">
        <x:v>0</x:v>
      </x:c>
      <x:c r="K28" s="27" t="n">
        <x:f>IF(J28=0,0,MIN(ROUNDUP(J28*'调参规则'!$B$6,0),'调参规则'!$B$10))</x:f>
        <x:v>0</x:v>
      </x:c>
      <x:c r="L28" s="27" t="n">
        <x:f>IF(J28=0,0,MIN(ROUNDUP(J28*'调参规则'!$B$7,0),'调参规则'!$B$11))</x:f>
        <x:v>0</x:v>
      </x:c>
      <x:c r="M28" s="27" t="n">
        <x:f>IF(J28=0,0,MIN(ROUNDUP(J28*'调参规则'!$B$8,0),'调参规则'!$B$12))</x:f>
        <x:v>0</x:v>
      </x:c>
      <x:c r="N28" s="27" t="n">
        <x:f>IF(J28=0,0,MIN(ROUNDUP(J28*'调参规则'!$B$9,0),'调参规则'!$B$13))</x:f>
        <x:v>0</x:v>
      </x:c>
      <x:c r="O28" s="6" t="str">
        <x:v>无</x:v>
      </x:c>
      <x:c r="P28" s="25" t="n">
        <x:v>2</x:v>
      </x:c>
      <x:c r="Q28" s="25" t="n">
        <x:v>1</x:v>
      </x:c>
      <x:c r="R28" s="6" t="str">
        <x:v>field</x:v>
      </x:c>
      <x:c r="S28" s="6" t="str">
        <x:v>建议值／未实装</x:v>
      </x:c>
    </x:row>
    <x:row r="29" ht="34" customHeight="1">
      <x:c r="A29" s="5" t="str">
        <x:v>edit_heal</x:v>
      </x:c>
      <x:c r="B29" s="5" t="str">
        <x:v>自我修订</x:v>
      </x:c>
      <x:c r="C29" s="5" t="str">
        <x:v>支援恢复</x:v>
      </x:c>
      <x:c r="D29" s="5" t="str">
        <x:v>强烈</x:v>
      </x:c>
      <x:c r="E29" s="26" t="n">
        <x:v>14</x:v>
      </x:c>
      <x:c r="F29" s="26" t="n">
        <x:v>1</x:v>
      </x:c>
      <x:c r="G29" s="26" t="n">
        <x:v>3</x:v>
      </x:c>
      <x:c r="H29" s="10" t="str">
        <x:v>自身或一同伴</x:v>
      </x:c>
      <x:c r="I29" s="26" t="n">
        <x:v>1</x:v>
      </x:c>
      <x:c r="J29" s="26" t="n">
        <x:v>0</x:v>
      </x:c>
      <x:c r="K29" s="28" t="n">
        <x:f>IF(J29=0,0,MIN(ROUNDUP(J29*'调参规则'!$B$6,0),'调参规则'!$B$14))</x:f>
        <x:v>0</x:v>
      </x:c>
      <x:c r="L29" s="28" t="n">
        <x:f>IF(J29=0,0,MIN(ROUNDUP(J29*'调参规则'!$B$7,0),'调参规则'!$B$15))</x:f>
        <x:v>0</x:v>
      </x:c>
      <x:c r="M29" s="28" t="n">
        <x:f>IF(J29=0,0,MIN(ROUNDUP(J29*'调参规则'!$B$8,0),'调参规则'!$B$16))</x:f>
        <x:v>0</x:v>
      </x:c>
      <x:c r="N29" s="28" t="n">
        <x:f>IF(J29=0,0,MIN(ROUNDUP(J29*'调参规则'!$B$9,0),'调参规则'!$B$17))</x:f>
        <x:v>0</x:v>
      </x:c>
      <x:c r="O29" s="5" t="str">
        <x:v>无</x:v>
      </x:c>
      <x:c r="P29" s="26" t="n">
        <x:v>0</x:v>
      </x:c>
      <x:c r="Q29" s="26" t="n">
        <x:v>1</x:v>
      </x:c>
      <x:c r="R29" s="5" t="str">
        <x:v>boon</x:v>
      </x:c>
      <x:c r="S29" s="5" t="str">
        <x:v>建议值／未实装</x:v>
      </x:c>
    </x:row>
    <x:row r="30" ht="34" customHeight="1">
      <x:c r="A30" s="6" t="str">
        <x:v>space_fold</x:v>
      </x:c>
      <x:c r="B30" s="6" t="str">
        <x:v>房间折线</x:v>
      </x:c>
      <x:c r="C30" s="6" t="str">
        <x:v>地形</x:v>
      </x:c>
      <x:c r="D30" s="6" t="str">
        <x:v>强烈</x:v>
      </x:c>
      <x:c r="E30" s="25" t="n">
        <x:v>12</x:v>
      </x:c>
      <x:c r="F30" s="25" t="n">
        <x:v>2</x:v>
      </x:c>
      <x:c r="G30" s="25" t="n">
        <x:v>4</x:v>
      </x:c>
      <x:c r="H30" s="9" t="str">
        <x:v>临时折面最多2格</x:v>
      </x:c>
      <x:c r="I30" s="25" t="n">
        <x:v>2</x:v>
      </x:c>
      <x:c r="J30" s="25" t="n">
        <x:v>0</x:v>
      </x:c>
      <x:c r="K30" s="27" t="n">
        <x:f>IF(J30=0,0,MIN(ROUNDUP(J30*'调参规则'!$B$6,0),'调参规则'!$B$14))</x:f>
        <x:v>0</x:v>
      </x:c>
      <x:c r="L30" s="27" t="n">
        <x:f>IF(J30=0,0,MIN(ROUNDUP(J30*'调参规则'!$B$7,0),'调参规则'!$B$15))</x:f>
        <x:v>0</x:v>
      </x:c>
      <x:c r="M30" s="27" t="n">
        <x:f>IF(J30=0,0,MIN(ROUNDUP(J30*'调参规则'!$B$8,0),'调参规则'!$B$16))</x:f>
        <x:v>0</x:v>
      </x:c>
      <x:c r="N30" s="27" t="n">
        <x:f>IF(J30=0,0,MIN(ROUNDUP(J30*'调参规则'!$B$9,0),'调参规则'!$B$17))</x:f>
        <x:v>0</x:v>
      </x:c>
      <x:c r="O30" s="6" t="str">
        <x:v>无</x:v>
      </x:c>
      <x:c r="P30" s="25" t="n">
        <x:v>3</x:v>
      </x:c>
      <x:c r="Q30" s="25" t="n">
        <x:v>1</x:v>
      </x:c>
      <x:c r="R30" s="6" t="str">
        <x:v>fold</x:v>
      </x:c>
      <x:c r="S30" s="6" t="str">
        <x:v>建议值／未实装</x:v>
      </x:c>
    </x:row>
    <x:row r="31" ht="34" customHeight="1">
      <x:c r="A31" s="5" t="str">
        <x:v>split_echo</x:v>
      </x:c>
      <x:c r="B31" s="5" t="str">
        <x:v>双重残影</x:v>
      </x:c>
      <x:c r="C31" s="5" t="str">
        <x:v>召唤</x:v>
      </x:c>
      <x:c r="D31" s="5" t="str">
        <x:v>强烈</x:v>
      </x:c>
      <x:c r="E31" s="26" t="n">
        <x:v>15</x:v>
      </x:c>
      <x:c r="F31" s="26" t="n">
        <x:v>2</x:v>
      </x:c>
      <x:c r="G31" s="26" t="n">
        <x:v>2</x:v>
      </x:c>
      <x:c r="H31" s="10" t="str">
        <x:v>固定出生单格</x:v>
      </x:c>
      <x:c r="I31" s="26" t="n">
        <x:v>1</x:v>
      </x:c>
      <x:c r="J31" s="26" t="n">
        <x:v>0</x:v>
      </x:c>
      <x:c r="K31" s="28" t="n">
        <x:f>IF(J31=0,0,MIN(ROUNDUP(J31*'调参规则'!$B$6,0),'调参规则'!$B$14))</x:f>
        <x:v>0</x:v>
      </x:c>
      <x:c r="L31" s="28" t="n">
        <x:f>IF(J31=0,0,MIN(ROUNDUP(J31*'调参规则'!$B$7,0),'调参规则'!$B$15))</x:f>
        <x:v>0</x:v>
      </x:c>
      <x:c r="M31" s="28" t="n">
        <x:f>IF(J31=0,0,MIN(ROUNDUP(J31*'调参规则'!$B$8,0),'调参规则'!$B$16))</x:f>
        <x:v>0</x:v>
      </x:c>
      <x:c r="N31" s="28" t="n">
        <x:f>IF(J31=0,0,MIN(ROUNDUP(J31*'调参规则'!$B$9,0),'调参规则'!$B$17))</x:f>
        <x:v>0</x:v>
      </x:c>
      <x:c r="O31" s="5" t="str">
        <x:v>无</x:v>
      </x:c>
      <x:c r="P31" s="26" t="n">
        <x:v>4</x:v>
      </x:c>
      <x:c r="Q31" s="26" t="n">
        <x:v>1</x:v>
      </x:c>
      <x:c r="R31" s="5" t="str">
        <x:v>fold</x:v>
      </x:c>
      <x:c r="S31" s="5" t="str">
        <x:v>建议值／未实装</x:v>
      </x:c>
    </x:row>
    <x:row r="32" ht="34" customHeight="1">
      <x:c r="A32" s="6" t="str">
        <x:v>choir_guard</x:v>
      </x:c>
      <x:c r="B32" s="6" t="str">
        <x:v>和声护幕</x:v>
      </x:c>
      <x:c r="C32" s="6" t="str">
        <x:v>支援征兆</x:v>
      </x:c>
      <x:c r="D32" s="6" t="str">
        <x:v>强烈</x:v>
      </x:c>
      <x:c r="E32" s="25" t="n">
        <x:v>13</x:v>
      </x:c>
      <x:c r="F32" s="25" t="n">
        <x:v>1</x:v>
      </x:c>
      <x:c r="G32" s="25" t="n">
        <x:v>3</x:v>
      </x:c>
      <x:c r="H32" s="9" t="str">
        <x:v>自身及同伴最多2</x:v>
      </x:c>
      <x:c r="I32" s="25" t="n">
        <x:v>3</x:v>
      </x:c>
      <x:c r="J32" s="25" t="n">
        <x:v>0</x:v>
      </x:c>
      <x:c r="K32" s="27" t="n">
        <x:f>IF(J32=0,0,MIN(ROUNDUP(J32*'调参规则'!$B$6,0),'调参规则'!$B$14))</x:f>
        <x:v>0</x:v>
      </x:c>
      <x:c r="L32" s="27" t="n">
        <x:f>IF(J32=0,0,MIN(ROUNDUP(J32*'调参规则'!$B$7,0),'调参规则'!$B$15))</x:f>
        <x:v>0</x:v>
      </x:c>
      <x:c r="M32" s="27" t="n">
        <x:f>IF(J32=0,0,MIN(ROUNDUP(J32*'调参规则'!$B$8,0),'调参规则'!$B$16))</x:f>
        <x:v>0</x:v>
      </x:c>
      <x:c r="N32" s="27" t="n">
        <x:f>IF(J32=0,0,MIN(ROUNDUP(J32*'调参规则'!$B$9,0),'调参规则'!$B$17))</x:f>
        <x:v>0</x:v>
      </x:c>
      <x:c r="O32" s="6" t="str">
        <x:v>无</x:v>
      </x:c>
      <x:c r="P32" s="25" t="n">
        <x:v>2</x:v>
      </x:c>
      <x:c r="Q32" s="25" t="n">
        <x:v>1</x:v>
      </x:c>
      <x:c r="R32" s="6" t="str">
        <x:v>boon</x:v>
      </x:c>
      <x:c r="S32" s="6" t="str">
        <x:v>建议值／未实装</x:v>
      </x:c>
    </x:row>
    <x:row r="33" ht="34" customHeight="1">
      <x:c r="A33" s="5" t="str">
        <x:v>stair_fracture</x:v>
      </x:c>
      <x:c r="B33" s="5" t="str">
        <x:v>阶沿崩解</x:v>
      </x:c>
      <x:c r="C33" s="5" t="str">
        <x:v>地形</x:v>
      </x:c>
      <x:c r="D33" s="5" t="str">
        <x:v>强烈</x:v>
      </x:c>
      <x:c r="E33" s="26" t="n">
        <x:v>13</x:v>
      </x:c>
      <x:c r="F33" s="26" t="n">
        <x:v>2</x:v>
      </x:c>
      <x:c r="G33" s="26" t="n">
        <x:v>3</x:v>
      </x:c>
      <x:c r="H33" s="10" t="str">
        <x:v>固定墙格最多2</x:v>
      </x:c>
      <x:c r="I33" s="26" t="n">
        <x:v>2</x:v>
      </x:c>
      <x:c r="J33" s="26" t="n">
        <x:v>0</x:v>
      </x:c>
      <x:c r="K33" s="28" t="n">
        <x:f>IF(J33=0,0,MIN(ROUNDUP(J33*'调参规则'!$B$6,0),'调参规则'!$B$14))</x:f>
        <x:v>0</x:v>
      </x:c>
      <x:c r="L33" s="28" t="n">
        <x:f>IF(J33=0,0,MIN(ROUNDUP(J33*'调参规则'!$B$7,0),'调参规则'!$B$15))</x:f>
        <x:v>0</x:v>
      </x:c>
      <x:c r="M33" s="28" t="n">
        <x:f>IF(J33=0,0,MIN(ROUNDUP(J33*'调参规则'!$B$8,0),'调参规则'!$B$16))</x:f>
        <x:v>0</x:v>
      </x:c>
      <x:c r="N33" s="28" t="n">
        <x:f>IF(J33=0,0,MIN(ROUNDUP(J33*'调参规则'!$B$9,0),'调参规则'!$B$17))</x:f>
        <x:v>0</x:v>
      </x:c>
      <x:c r="O33" s="5" t="str">
        <x:v>无</x:v>
      </x:c>
      <x:c r="P33" s="26" t="n">
        <x:v>0</x:v>
      </x:c>
      <x:c r="Q33" s="26" t="n">
        <x:v>1</x:v>
      </x:c>
      <x:c r="R33" s="5" t="str">
        <x:v>terrain</x:v>
      </x:c>
      <x:c r="S33" s="5" t="str">
        <x:v>建议值／未实装</x:v>
      </x:c>
    </x:row>
    <x:row r="34" ht="34" customHeight="1">
      <x:c r="A34" s="6" t="str">
        <x:v>redact_buff</x:v>
      </x:c>
      <x:c r="B34" s="6" t="str">
        <x:v>划除征兆</x:v>
      </x:c>
      <x:c r="C34" s="6" t="str">
        <x:v>负面征兆</x:v>
      </x:c>
      <x:c r="D34" s="6" t="str">
        <x:v>强烈</x:v>
      </x:c>
      <x:c r="E34" s="25" t="n">
        <x:v>13</x:v>
      </x:c>
      <x:c r="F34" s="25" t="n">
        <x:v>1</x:v>
      </x:c>
      <x:c r="G34" s="25" t="n">
        <x:v>4</x:v>
      </x:c>
      <x:c r="H34" s="9" t="str">
        <x:v>固定单格</x:v>
      </x:c>
      <x:c r="I34" s="25" t="n">
        <x:v>1</x:v>
      </x:c>
      <x:c r="J34" s="25" t="n">
        <x:v>0</x:v>
      </x:c>
      <x:c r="K34" s="27" t="n">
        <x:f>IF(J34=0,0,MIN(ROUNDUP(J34*'调参规则'!$B$6,0),'调参规则'!$B$14))</x:f>
        <x:v>0</x:v>
      </x:c>
      <x:c r="L34" s="27" t="n">
        <x:f>IF(J34=0,0,MIN(ROUNDUP(J34*'调参规则'!$B$7,0),'调参规则'!$B$15))</x:f>
        <x:v>0</x:v>
      </x:c>
      <x:c r="M34" s="27" t="n">
        <x:f>IF(J34=0,0,MIN(ROUNDUP(J34*'调参规则'!$B$8,0),'调参规则'!$B$16))</x:f>
        <x:v>0</x:v>
      </x:c>
      <x:c r="N34" s="27" t="n">
        <x:f>IF(J34=0,0,MIN(ROUNDUP(J34*'调参规则'!$B$9,0),'调参规则'!$B$17))</x:f>
        <x:v>0</x:v>
      </x:c>
      <x:c r="O34" s="6" t="str">
        <x:v>无</x:v>
      </x:c>
      <x:c r="P34" s="25" t="n">
        <x:v>0</x:v>
      </x:c>
      <x:c r="Q34" s="25" t="n">
        <x:v>1</x:v>
      </x:c>
      <x:c r="R34" s="6" t="str">
        <x:v>hex</x:v>
      </x:c>
      <x:c r="S34" s="6" t="str">
        <x:v>建议值／未实装</x:v>
      </x:c>
    </x:row>
    <x:row r="35" ht="34" customHeight="1">
      <x:c r="A35" s="5" t="str">
        <x:v>abyss_pull</x:v>
      </x:c>
      <x:c r="B35" s="5" t="str">
        <x:v>量尺收线</x:v>
      </x:c>
      <x:c r="C35" s="5" t="str">
        <x:v>位移</x:v>
      </x:c>
      <x:c r="D35" s="5" t="str">
        <x:v>强烈</x:v>
      </x:c>
      <x:c r="E35" s="26" t="n">
        <x:v>12</x:v>
      </x:c>
      <x:c r="F35" s="26" t="n">
        <x:v>2</x:v>
      </x:c>
      <x:c r="G35" s="26" t="n">
        <x:v>5</x:v>
      </x:c>
      <x:c r="H35" s="10" t="str">
        <x:v>固定细线</x:v>
      </x:c>
      <x:c r="I35" s="26" t="n">
        <x:v>5</x:v>
      </x:c>
      <x:c r="J35" s="26" t="n">
        <x:v>2</x:v>
      </x:c>
      <x:c r="K35" s="28" t="n">
        <x:f>IF(J35=0,0,MIN(ROUNDUP(J35*'调参规则'!$B$6,0),'调参规则'!$B$14))</x:f>
        <x:v>2</x:v>
      </x:c>
      <x:c r="L35" s="28" t="n">
        <x:f>IF(J35=0,0,MIN(ROUNDUP(J35*'调参规则'!$B$7,0),'调参规则'!$B$15))</x:f>
        <x:v>3</x:v>
      </x:c>
      <x:c r="M35" s="28" t="n">
        <x:f>IF(J35=0,0,MIN(ROUNDUP(J35*'调参规则'!$B$8,0),'调参规则'!$B$16))</x:f>
        <x:v>3</x:v>
      </x:c>
      <x:c r="N35" s="28" t="n">
        <x:f>IF(J35=0,0,MIN(ROUNDUP(J35*'调参规则'!$B$9,0),'调参规则'!$B$17))</x:f>
        <x:v>4</x:v>
      </x:c>
      <x:c r="O35" s="5" t="str">
        <x:v>清醒</x:v>
      </x:c>
      <x:c r="P35" s="26" t="n">
        <x:v>0</x:v>
      </x:c>
      <x:c r="Q35" s="26" t="n">
        <x:v>1</x:v>
      </x:c>
      <x:c r="R35" s="5" t="str">
        <x:v>push</x:v>
      </x:c>
      <x:c r="S35" s="5" t="str">
        <x:v>建议值／未实装</x:v>
      </x:c>
    </x:row>
    <x:row r="36" ht="34" customHeight="1">
      <x:c r="A36" s="6" t="str">
        <x:v>oblivion_mark</x:v>
      </x:c>
      <x:c r="B36" s="6" t="str">
        <x:v>遗忘批注</x:v>
      </x:c>
      <x:c r="C36" s="6" t="str">
        <x:v>负面征兆</x:v>
      </x:c>
      <x:c r="D36" s="6" t="str">
        <x:v>强烈</x:v>
      </x:c>
      <x:c r="E36" s="25" t="n">
        <x:v>12</x:v>
      </x:c>
      <x:c r="F36" s="25" t="n">
        <x:v>1</x:v>
      </x:c>
      <x:c r="G36" s="25" t="n">
        <x:v>4</x:v>
      </x:c>
      <x:c r="H36" s="9" t="str">
        <x:v>固定单格</x:v>
      </x:c>
      <x:c r="I36" s="25" t="n">
        <x:v>1</x:v>
      </x:c>
      <x:c r="J36" s="25" t="n">
        <x:v>1</x:v>
      </x:c>
      <x:c r="K36" s="27" t="n">
        <x:f>IF(J36=0,0,MIN(ROUNDUP(J36*'调参规则'!$B$6,0),'调参规则'!$B$14))</x:f>
        <x:v>1</x:v>
      </x:c>
      <x:c r="L36" s="27" t="n">
        <x:f>IF(J36=0,0,MIN(ROUNDUP(J36*'调参规则'!$B$7,0),'调参规则'!$B$15))</x:f>
        <x:v>2</x:v>
      </x:c>
      <x:c r="M36" s="27" t="n">
        <x:f>IF(J36=0,0,MIN(ROUNDUP(J36*'调参规则'!$B$8,0),'调参规则'!$B$16))</x:f>
        <x:v>2</x:v>
      </x:c>
      <x:c r="N36" s="27" t="n">
        <x:f>IF(J36=0,0,MIN(ROUNDUP(J36*'调参规则'!$B$9,0),'调参规则'!$B$17))</x:f>
        <x:v>2</x:v>
      </x:c>
      <x:c r="O36" s="6" t="str">
        <x:v>心智</x:v>
      </x:c>
      <x:c r="P36" s="25" t="n">
        <x:v>2</x:v>
      </x:c>
      <x:c r="Q36" s="25" t="n">
        <x:v>1</x:v>
      </x:c>
      <x:c r="R36" s="6" t="str">
        <x:v>hex</x:v>
      </x:c>
      <x:c r="S36" s="6" t="str">
        <x:v>建议值／未实装</x:v>
      </x:c>
    </x:row>
    <x:row r="37" ht="34" customHeight="1">
      <x:c r="A37" s="5" t="str">
        <x:v>nightmare_patch</x:v>
      </x:c>
      <x:c r="B37" s="5" t="str">
        <x:v>噩梦缝补</x:v>
      </x:c>
      <x:c r="C37" s="5" t="str">
        <x:v>效果场</x:v>
      </x:c>
      <x:c r="D37" s="5" t="str">
        <x:v>强烈</x:v>
      </x:c>
      <x:c r="E37" s="26" t="n">
        <x:v>14</x:v>
      </x:c>
      <x:c r="F37" s="26" t="n">
        <x:v>2</x:v>
      </x:c>
      <x:c r="G37" s="26" t="n">
        <x:v>4</x:v>
      </x:c>
      <x:c r="H37" s="10" t="str">
        <x:v>固定曼哈顿半径1</x:v>
      </x:c>
      <x:c r="I37" s="26" t="n">
        <x:v>5</x:v>
      </x:c>
      <x:c r="J37" s="26" t="n">
        <x:v>0</x:v>
      </x:c>
      <x:c r="K37" s="28" t="n">
        <x:f>IF(J37=0,0,MIN(ROUNDUP(J37*'调参规则'!$B$6,0),'调参规则'!$B$14))</x:f>
        <x:v>0</x:v>
      </x:c>
      <x:c r="L37" s="28" t="n">
        <x:f>IF(J37=0,0,MIN(ROUNDUP(J37*'调参规则'!$B$7,0),'调参规则'!$B$15))</x:f>
        <x:v>0</x:v>
      </x:c>
      <x:c r="M37" s="28" t="n">
        <x:f>IF(J37=0,0,MIN(ROUNDUP(J37*'调参规则'!$B$8,0),'调参规则'!$B$16))</x:f>
        <x:v>0</x:v>
      </x:c>
      <x:c r="N37" s="28" t="n">
        <x:f>IF(J37=0,0,MIN(ROUNDUP(J37*'调参规则'!$B$9,0),'调参规则'!$B$17))</x:f>
        <x:v>0</x:v>
      </x:c>
      <x:c r="O37" s="5" t="str">
        <x:v>无</x:v>
      </x:c>
      <x:c r="P37" s="26" t="n">
        <x:v>2</x:v>
      </x:c>
      <x:c r="Q37" s="26" t="n">
        <x:v>1</x:v>
      </x:c>
      <x:c r="R37" s="5" t="str">
        <x:v>field</x:v>
      </x:c>
      <x:c r="S37" s="5" t="str">
        <x:v>建议值／未实装</x:v>
      </x:c>
    </x:row>
    <x:row r="38" ht="34" customHeight="1">
      <x:c r="A38" s="6" t="str">
        <x:v>null_ray</x:v>
      </x:c>
      <x:c r="B38" s="6" t="str">
        <x:v>空白光束</x:v>
      </x:c>
      <x:c r="C38" s="6" t="str">
        <x:v>弹道</x:v>
      </x:c>
      <x:c r="D38" s="6" t="str">
        <x:v>强烈</x:v>
      </x:c>
      <x:c r="E38" s="25" t="n">
        <x:v>10</x:v>
      </x:c>
      <x:c r="F38" s="25" t="n">
        <x:v>1</x:v>
      </x:c>
      <x:c r="G38" s="25" t="n">
        <x:v>5</x:v>
      </x:c>
      <x:c r="H38" s="9" t="str">
        <x:v>固定细线</x:v>
      </x:c>
      <x:c r="I38" s="25" t="n">
        <x:v>5</x:v>
      </x:c>
      <x:c r="J38" s="25" t="n">
        <x:v>3</x:v>
      </x:c>
      <x:c r="K38" s="27" t="n">
        <x:f>IF(J38=0,0,MIN(ROUNDUP(J38*'调参规则'!$B$6,0),'调参规则'!$B$14))</x:f>
        <x:v>3</x:v>
      </x:c>
      <x:c r="L38" s="27" t="n">
        <x:f>IF(J38=0,0,MIN(ROUNDUP(J38*'调参规则'!$B$7,0),'调参规则'!$B$15))</x:f>
        <x:v>4</x:v>
      </x:c>
      <x:c r="M38" s="27" t="n">
        <x:f>IF(J38=0,0,MIN(ROUNDUP(J38*'调参规则'!$B$8,0),'调参规则'!$B$16))</x:f>
        <x:v>5</x:v>
      </x:c>
      <x:c r="N38" s="27" t="n">
        <x:f>IF(J38=0,0,MIN(ROUNDUP(J38*'调参规则'!$B$9,0),'调参规则'!$B$17))</x:f>
        <x:v>6</x:v>
      </x:c>
      <x:c r="O38" s="6" t="str">
        <x:v>清醒</x:v>
      </x:c>
      <x:c r="P38" s="25" t="n">
        <x:v>0</x:v>
      </x:c>
      <x:c r="Q38" s="25" t="n">
        <x:v>1</x:v>
      </x:c>
      <x:c r="R38" s="6" t="str">
        <x:v>needle</x:v>
      </x:c>
      <x:c r="S38" s="6" t="str">
        <x:v>建议值／未实装</x:v>
      </x:c>
    </x:row>
    <x:row r="39" ht="34" customHeight="1">
      <x:c r="A39" s="5" t="str">
        <x:v>core_beacon</x:v>
      </x:c>
      <x:c r="B39" s="5" t="str">
        <x:v>灯塔转光</x:v>
      </x:c>
      <x:c r="C39" s="5" t="str">
        <x:v>范围</x:v>
      </x:c>
      <x:c r="D39" s="5" t="str">
        <x:v>核心</x:v>
      </x:c>
      <x:c r="E39" s="26" t="n">
        <x:v>9</x:v>
      </x:c>
      <x:c r="F39" s="26" t="n">
        <x:v>2</x:v>
      </x:c>
      <x:c r="G39" s="26" t="n">
        <x:v>5</x:v>
      </x:c>
      <x:c r="H39" s="10" t="str">
        <x:v>固定扇形90度／半径3</x:v>
      </x:c>
      <x:c r="I39" s="26" t="n">
        <x:v>7</x:v>
      </x:c>
      <x:c r="J39" s="26" t="n">
        <x:v>3</x:v>
      </x:c>
      <x:c r="K39" s="28" t="n">
        <x:f>IF(J39=0,0,MIN(ROUNDUP(J39*'调参规则'!$B$6,0),'调参规则'!$B$18))</x:f>
        <x:v>3</x:v>
      </x:c>
      <x:c r="L39" s="28" t="n">
        <x:f>IF(J39=0,0,MIN(ROUNDUP(J39*'调参规则'!$B$7,0),'调参规则'!$B$19))</x:f>
        <x:v>4</x:v>
      </x:c>
      <x:c r="M39" s="28" t="n">
        <x:f>IF(J39=0,0,MIN(ROUNDUP(J39*'调参规则'!$B$8,0),'调参规则'!$B$20))</x:f>
        <x:v>5</x:v>
      </x:c>
      <x:c r="N39" s="28" t="n">
        <x:f>IF(J39=0,0,MIN(ROUNDUP(J39*'调参规则'!$B$9,0),'调参规则'!$B$21))</x:f>
        <x:v>6</x:v>
      </x:c>
      <x:c r="O39" s="5" t="str">
        <x:v>清醒</x:v>
      </x:c>
      <x:c r="P39" s="26" t="n">
        <x:v>0</x:v>
      </x:c>
      <x:c r="Q39" s="26" t="n">
        <x:v>1</x:v>
      </x:c>
      <x:c r="R39" s="5" t="str">
        <x:v>needle</x:v>
      </x:c>
      <x:c r="S39" s="5" t="str">
        <x:v>建议值／未实装</x:v>
      </x:c>
    </x:row>
    <x:row r="40" ht="34" customHeight="1">
      <x:c r="A40" s="6" t="str">
        <x:v>core_summon</x:v>
      </x:c>
      <x:c r="B40" s="6" t="str">
        <x:v>执念落影</x:v>
      </x:c>
      <x:c r="C40" s="6" t="str">
        <x:v>召唤</x:v>
      </x:c>
      <x:c r="D40" s="6" t="str">
        <x:v>核心</x:v>
      </x:c>
      <x:c r="E40" s="25" t="n">
        <x:v>18</x:v>
      </x:c>
      <x:c r="F40" s="25" t="n">
        <x:v>2</x:v>
      </x:c>
      <x:c r="G40" s="25" t="n">
        <x:v>3</x:v>
      </x:c>
      <x:c r="H40" s="9" t="str">
        <x:v>固定出生单格</x:v>
      </x:c>
      <x:c r="I40" s="25" t="n">
        <x:v>1</x:v>
      </x:c>
      <x:c r="J40" s="25" t="n">
        <x:v>0</x:v>
      </x:c>
      <x:c r="K40" s="27" t="n">
        <x:f>IF(J40=0,0,MIN(ROUNDUP(J40*'调参规则'!$B$6,0),'调参规则'!$B$18))</x:f>
        <x:v>0</x:v>
      </x:c>
      <x:c r="L40" s="27" t="n">
        <x:f>IF(J40=0,0,MIN(ROUNDUP(J40*'调参规则'!$B$7,0),'调参规则'!$B$19))</x:f>
        <x:v>0</x:v>
      </x:c>
      <x:c r="M40" s="27" t="n">
        <x:f>IF(J40=0,0,MIN(ROUNDUP(J40*'调参规则'!$B$8,0),'调参规则'!$B$20))</x:f>
        <x:v>0</x:v>
      </x:c>
      <x:c r="N40" s="27" t="n">
        <x:f>IF(J40=0,0,MIN(ROUNDUP(J40*'调参规则'!$B$9,0),'调参规则'!$B$21))</x:f>
        <x:v>0</x:v>
      </x:c>
      <x:c r="O40" s="6" t="str">
        <x:v>无</x:v>
      </x:c>
      <x:c r="P40" s="25" t="n">
        <x:v>5</x:v>
      </x:c>
      <x:c r="Q40" s="25" t="n">
        <x:v>1</x:v>
      </x:c>
      <x:c r="R40" s="6" t="str">
        <x:v>fold</x:v>
      </x:c>
      <x:c r="S40" s="6" t="str">
        <x:v>建议值／未实装</x:v>
      </x:c>
    </x:row>
    <x:row r="41" ht="34" customHeight="1">
      <x:c r="A41" s="5" t="str">
        <x:v>core_period</x:v>
      </x:c>
      <x:c r="B41" s="5" t="str">
        <x:v>句末吞墨</x:v>
      </x:c>
      <x:c r="C41" s="5" t="str">
        <x:v>负面征兆</x:v>
      </x:c>
      <x:c r="D41" s="5" t="str">
        <x:v>核心</x:v>
      </x:c>
      <x:c r="E41" s="26" t="n">
        <x:v>12</x:v>
      </x:c>
      <x:c r="F41" s="26" t="n">
        <x:v>2</x:v>
      </x:c>
      <x:c r="G41" s="26" t="n">
        <x:v>5</x:v>
      </x:c>
      <x:c r="H41" s="10" t="str">
        <x:v>固定曼哈顿半径1</x:v>
      </x:c>
      <x:c r="I41" s="26" t="n">
        <x:v>5</x:v>
      </x:c>
      <x:c r="J41" s="26" t="n">
        <x:v>2</x:v>
      </x:c>
      <x:c r="K41" s="28" t="n">
        <x:f>IF(J41=0,0,MIN(ROUNDUP(J41*'调参规则'!$B$6,0),'调参规则'!$B$18))</x:f>
        <x:v>2</x:v>
      </x:c>
      <x:c r="L41" s="28" t="n">
        <x:f>IF(J41=0,0,MIN(ROUNDUP(J41*'调参规则'!$B$7,0),'调参规则'!$B$19))</x:f>
        <x:v>3</x:v>
      </x:c>
      <x:c r="M41" s="28" t="n">
        <x:f>IF(J41=0,0,MIN(ROUNDUP(J41*'调参规则'!$B$8,0),'调参规则'!$B$20))</x:f>
        <x:v>3</x:v>
      </x:c>
      <x:c r="N41" s="28" t="n">
        <x:f>IF(J41=0,0,MIN(ROUNDUP(J41*'调参规则'!$B$9,0),'调参规则'!$B$21))</x:f>
        <x:v>4</x:v>
      </x:c>
      <x:c r="O41" s="5" t="str">
        <x:v>心智</x:v>
      </x:c>
      <x:c r="P41" s="26" t="n">
        <x:v>0</x:v>
      </x:c>
      <x:c r="Q41" s="26" t="n">
        <x:v>1</x:v>
      </x:c>
      <x:c r="R41" s="5" t="str">
        <x:v>hex</x:v>
      </x:c>
      <x:c r="S41" s="5" t="str">
        <x:v>建议值／未实装</x:v>
      </x:c>
    </x:row>
    <x:row r="42" ht="34" customHeight="1">
      <x:c r="A42" s="6" t="str">
        <x:v>core_pause</x:v>
      </x:c>
      <x:c r="B42" s="6" t="str">
        <x:v>未完停顿</x:v>
      </x:c>
      <x:c r="C42" s="6" t="str">
        <x:v>负面征兆</x:v>
      </x:c>
      <x:c r="D42" s="6" t="str">
        <x:v>核心</x:v>
      </x:c>
      <x:c r="E42" s="25" t="n">
        <x:v>14</x:v>
      </x:c>
      <x:c r="F42" s="25" t="n">
        <x:v>2</x:v>
      </x:c>
      <x:c r="G42" s="25" t="n">
        <x:v>4</x:v>
      </x:c>
      <x:c r="H42" s="9" t="str">
        <x:v>固定单格</x:v>
      </x:c>
      <x:c r="I42" s="25" t="n">
        <x:v>1</x:v>
      </x:c>
      <x:c r="J42" s="25" t="n">
        <x:v>0</x:v>
      </x:c>
      <x:c r="K42" s="27" t="n">
        <x:f>IF(J42=0,0,MIN(ROUNDUP(J42*'调参规则'!$B$6,0),'调参规则'!$B$18))</x:f>
        <x:v>0</x:v>
      </x:c>
      <x:c r="L42" s="27" t="n">
        <x:f>IF(J42=0,0,MIN(ROUNDUP(J42*'调参规则'!$B$7,0),'调参规则'!$B$19))</x:f>
        <x:v>0</x:v>
      </x:c>
      <x:c r="M42" s="27" t="n">
        <x:f>IF(J42=0,0,MIN(ROUNDUP(J42*'调参规则'!$B$8,0),'调参规则'!$B$20))</x:f>
        <x:v>0</x:v>
      </x:c>
      <x:c r="N42" s="27" t="n">
        <x:f>IF(J42=0,0,MIN(ROUNDUP(J42*'调参规则'!$B$9,0),'调参规则'!$B$21))</x:f>
        <x:v>0</x:v>
      </x:c>
      <x:c r="O42" s="6" t="str">
        <x:v>无</x:v>
      </x:c>
      <x:c r="P42" s="25" t="n">
        <x:v>1</x:v>
      </x:c>
      <x:c r="Q42" s="25" t="n">
        <x:v>1</x:v>
      </x:c>
      <x:c r="R42" s="6" t="str">
        <x:v>hex</x:v>
      </x:c>
      <x:c r="S42" s="6" t="str">
        <x:v>建议值／未实装</x:v>
      </x:c>
    </x:row>
    <x:row r="43" ht="34" customHeight="1">
      <x:c r="A43" s="5" t="str">
        <x:v>core_cry</x:v>
      </x:c>
      <x:c r="B43" s="5" t="str">
        <x:v>初啼声浪</x:v>
      </x:c>
      <x:c r="C43" s="5" t="str">
        <x:v>范围</x:v>
      </x:c>
      <x:c r="D43" s="5" t="str">
        <x:v>核心</x:v>
      </x:c>
      <x:c r="E43" s="26" t="n">
        <x:v>11</x:v>
      </x:c>
      <x:c r="F43" s="26" t="n">
        <x:v>2</x:v>
      </x:c>
      <x:c r="G43" s="26" t="n">
        <x:v>5</x:v>
      </x:c>
      <x:c r="H43" s="10" t="str">
        <x:v>固定曼哈顿半径2</x:v>
      </x:c>
      <x:c r="I43" s="26" t="n">
        <x:v>13</x:v>
      </x:c>
      <x:c r="J43" s="26" t="n">
        <x:v>3</x:v>
      </x:c>
      <x:c r="K43" s="28" t="n">
        <x:f>IF(J43=0,0,MIN(ROUNDUP(J43*'调参规则'!$B$6,0),'调参规则'!$B$18))</x:f>
        <x:v>3</x:v>
      </x:c>
      <x:c r="L43" s="28" t="n">
        <x:f>IF(J43=0,0,MIN(ROUNDUP(J43*'调参规则'!$B$7,0),'调参规则'!$B$19))</x:f>
        <x:v>4</x:v>
      </x:c>
      <x:c r="M43" s="28" t="n">
        <x:f>IF(J43=0,0,MIN(ROUNDUP(J43*'调参规则'!$B$8,0),'调参规则'!$B$20))</x:f>
        <x:v>5</x:v>
      </x:c>
      <x:c r="N43" s="28" t="n">
        <x:f>IF(J43=0,0,MIN(ROUNDUP(J43*'调参规则'!$B$9,0),'调参规则'!$B$21))</x:f>
        <x:v>6</x:v>
      </x:c>
      <x:c r="O43" s="5" t="str">
        <x:v>心智</x:v>
      </x:c>
      <x:c r="P43" s="26" t="n">
        <x:v>0</x:v>
      </x:c>
      <x:c r="Q43" s="26" t="n">
        <x:v>1</x:v>
      </x:c>
      <x:c r="R43" s="5" t="str">
        <x:v>sound</x:v>
      </x:c>
      <x:c r="S43" s="5" t="str">
        <x:v>建议值／未实装</x:v>
      </x:c>
    </x:row>
    <x:row r="44" ht="34" customHeight="1">
      <x:c r="A44" s="6" t="str">
        <x:v>core_chill</x:v>
      </x:c>
      <x:c r="B44" s="6" t="str">
        <x:v>冻嚎</x:v>
      </x:c>
      <x:c r="C44" s="6" t="str">
        <x:v>效果场</x:v>
      </x:c>
      <x:c r="D44" s="6" t="str">
        <x:v>核心</x:v>
      </x:c>
      <x:c r="E44" s="25" t="n">
        <x:v>14</x:v>
      </x:c>
      <x:c r="F44" s="25" t="n">
        <x:v>2</x:v>
      </x:c>
      <x:c r="G44" s="25" t="n">
        <x:v>4</x:v>
      </x:c>
      <x:c r="H44" s="9" t="str">
        <x:v>固定短横线</x:v>
      </x:c>
      <x:c r="I44" s="25" t="n">
        <x:v>3</x:v>
      </x:c>
      <x:c r="J44" s="25" t="n">
        <x:v>0</x:v>
      </x:c>
      <x:c r="K44" s="27" t="n">
        <x:f>IF(J44=0,0,MIN(ROUNDUP(J44*'调参规则'!$B$6,0),'调参规则'!$B$18))</x:f>
        <x:v>0</x:v>
      </x:c>
      <x:c r="L44" s="27" t="n">
        <x:f>IF(J44=0,0,MIN(ROUNDUP(J44*'调参规则'!$B$7,0),'调参规则'!$B$19))</x:f>
        <x:v>0</x:v>
      </x:c>
      <x:c r="M44" s="27" t="n">
        <x:f>IF(J44=0,0,MIN(ROUNDUP(J44*'调参规则'!$B$8,0),'调参规则'!$B$20))</x:f>
        <x:v>0</x:v>
      </x:c>
      <x:c r="N44" s="27" t="n">
        <x:f>IF(J44=0,0,MIN(ROUNDUP(J44*'调参规则'!$B$9,0),'调参规则'!$B$21))</x:f>
        <x:v>0</x:v>
      </x:c>
      <x:c r="O44" s="6" t="str">
        <x:v>无</x:v>
      </x:c>
      <x:c r="P44" s="25" t="n">
        <x:v>2</x:v>
      </x:c>
      <x:c r="Q44" s="25" t="n">
        <x:v>1</x:v>
      </x:c>
      <x:c r="R44" s="6" t="str">
        <x:v>field</x:v>
      </x:c>
      <x:c r="S44" s="6" t="str">
        <x:v>建议值／未实装</x:v>
      </x:c>
    </x:row>
    <x:row r="45" ht="34" customHeight="1">
      <x:c r="A45" s="5" t="str">
        <x:v>scribe_stroke</x:v>
      </x:c>
      <x:c r="B45" s="5" t="str">
        <x:v>落笔断行</x:v>
      </x:c>
      <x:c r="C45" s="5" t="str">
        <x:v>弹道</x:v>
      </x:c>
      <x:c r="D45" s="5" t="str">
        <x:v>核心</x:v>
      </x:c>
      <x:c r="E45" s="26" t="n">
        <x:v>9</x:v>
      </x:c>
      <x:c r="F45" s="26" t="n">
        <x:v>2</x:v>
      </x:c>
      <x:c r="G45" s="26" t="n">
        <x:v>6</x:v>
      </x:c>
      <x:c r="H45" s="10" t="str">
        <x:v>固定细线</x:v>
      </x:c>
      <x:c r="I45" s="26" t="n">
        <x:v>6</x:v>
      </x:c>
      <x:c r="J45" s="26" t="n">
        <x:v>4</x:v>
      </x:c>
      <x:c r="K45" s="28" t="n">
        <x:f>IF(J45=0,0,MIN(ROUNDUP(J45*'调参规则'!$B$6,0),'调参规则'!$B$18))</x:f>
        <x:v>4</x:v>
      </x:c>
      <x:c r="L45" s="28" t="n">
        <x:f>IF(J45=0,0,MIN(ROUNDUP(J45*'调参规则'!$B$7,0),'调参规则'!$B$19))</x:f>
        <x:v>5</x:v>
      </x:c>
      <x:c r="M45" s="28" t="n">
        <x:f>IF(J45=0,0,MIN(ROUNDUP(J45*'调参规则'!$B$8,0),'调参规则'!$B$20))</x:f>
        <x:v>6</x:v>
      </x:c>
      <x:c r="N45" s="28" t="n">
        <x:f>IF(J45=0,0,MIN(ROUNDUP(J45*'调参规则'!$B$9,0),'调参规则'!$B$21))</x:f>
        <x:v>7</x:v>
      </x:c>
      <x:c r="O45" s="5" t="str">
        <x:v>清醒</x:v>
      </x:c>
      <x:c r="P45" s="26" t="n">
        <x:v>0</x:v>
      </x:c>
      <x:c r="Q45" s="26" t="n">
        <x:v>1</x:v>
      </x:c>
      <x:c r="R45" s="5" t="str">
        <x:v>needle</x:v>
      </x:c>
      <x:c r="S45" s="5" t="str">
        <x:v>建议值／未实装</x:v>
      </x:c>
    </x:row>
    <x:row r="46" ht="34" customHeight="1">
      <x:c r="A46" s="6" t="str">
        <x:v>scribe_draft</x:v>
      </x:c>
      <x:c r="B46" s="6" t="str">
        <x:v>未定草稿</x:v>
      </x:c>
      <x:c r="C46" s="6" t="str">
        <x:v>范围</x:v>
      </x:c>
      <x:c r="D46" s="6" t="str">
        <x:v>核心</x:v>
      </x:c>
      <x:c r="E46" s="25" t="n">
        <x:v>13</x:v>
      </x:c>
      <x:c r="F46" s="25" t="n">
        <x:v>2</x:v>
      </x:c>
      <x:c r="G46" s="25" t="n">
        <x:v>5</x:v>
      </x:c>
      <x:c r="H46" s="9" t="str">
        <x:v>固定曼哈顿半径2</x:v>
      </x:c>
      <x:c r="I46" s="25" t="n">
        <x:v>13</x:v>
      </x:c>
      <x:c r="J46" s="25" t="n">
        <x:v>3</x:v>
      </x:c>
      <x:c r="K46" s="27" t="n">
        <x:f>IF(J46=0,0,MIN(ROUNDUP(J46*'调参规则'!$B$6,0),'调参规则'!$B$18))</x:f>
        <x:v>3</x:v>
      </x:c>
      <x:c r="L46" s="27" t="n">
        <x:f>IF(J46=0,0,MIN(ROUNDUP(J46*'调参规则'!$B$7,0),'调参规则'!$B$19))</x:f>
        <x:v>4</x:v>
      </x:c>
      <x:c r="M46" s="27" t="n">
        <x:f>IF(J46=0,0,MIN(ROUNDUP(J46*'调参规则'!$B$8,0),'调参规则'!$B$20))</x:f>
        <x:v>5</x:v>
      </x:c>
      <x:c r="N46" s="27" t="n">
        <x:f>IF(J46=0,0,MIN(ROUNDUP(J46*'调参规则'!$B$9,0),'调参规则'!$B$21))</x:f>
        <x:v>6</x:v>
      </x:c>
      <x:c r="O46" s="6" t="str">
        <x:v>心智</x:v>
      </x:c>
      <x:c r="P46" s="25" t="n">
        <x:v>2</x:v>
      </x:c>
      <x:c r="Q46" s="25" t="n">
        <x:v>1</x:v>
      </x:c>
      <x:c r="R46" s="6" t="str">
        <x:v>blast</x:v>
      </x:c>
      <x:c r="S46" s="6" t="str">
        <x:v>建议值／未实装</x:v>
      </x:c>
    </x:row>
    <x:row r="47" ht="34" customHeight="1">
      <x:c r="A47" s="5" t="str">
        <x:v>scribe_erase</x:v>
      </x:c>
      <x:c r="B47" s="5" t="str">
        <x:v>局部擦除</x:v>
      </x:c>
      <x:c r="C47" s="5" t="str">
        <x:v>地形</x:v>
      </x:c>
      <x:c r="D47" s="5" t="str">
        <x:v>核心</x:v>
      </x:c>
      <x:c r="E47" s="26" t="n">
        <x:v>16</x:v>
      </x:c>
      <x:c r="F47" s="26" t="n">
        <x:v>2</x:v>
      </x:c>
      <x:c r="G47" s="26" t="n">
        <x:v>4</x:v>
      </x:c>
      <x:c r="H47" s="10" t="str">
        <x:v>固定十字</x:v>
      </x:c>
      <x:c r="I47" s="26" t="n">
        <x:v>5</x:v>
      </x:c>
      <x:c r="J47" s="26" t="n">
        <x:v>0</x:v>
      </x:c>
      <x:c r="K47" s="28" t="n">
        <x:f>IF(J47=0,0,MIN(ROUNDUP(J47*'调参规则'!$B$6,0),'调参规则'!$B$18))</x:f>
        <x:v>0</x:v>
      </x:c>
      <x:c r="L47" s="28" t="n">
        <x:f>IF(J47=0,0,MIN(ROUNDUP(J47*'调参规则'!$B$7,0),'调参规则'!$B$19))</x:f>
        <x:v>0</x:v>
      </x:c>
      <x:c r="M47" s="28" t="n">
        <x:f>IF(J47=0,0,MIN(ROUNDUP(J47*'调参规则'!$B$8,0),'调参规则'!$B$20))</x:f>
        <x:v>0</x:v>
      </x:c>
      <x:c r="N47" s="28" t="n">
        <x:f>IF(J47=0,0,MIN(ROUNDUP(J47*'调参规则'!$B$9,0),'调参规则'!$B$21))</x:f>
        <x:v>0</x:v>
      </x:c>
      <x:c r="O47" s="5" t="str">
        <x:v>无</x:v>
      </x:c>
      <x:c r="P47" s="26" t="n">
        <x:v>0</x:v>
      </x:c>
      <x:c r="Q47" s="26" t="n">
        <x:v>1</x:v>
      </x:c>
      <x:c r="R47" s="5" t="str">
        <x:v>terrain</x:v>
      </x:c>
      <x:c r="S47" s="5" t="str">
        <x:v>建议值／未实装</x:v>
      </x:c>
    </x:row>
    <x:row r="48" ht="34" customHeight="1">
      <x:c r="A48" s="6" t="str">
        <x:v>scribe_revision</x:v>
      </x:c>
      <x:c r="B48" s="6" t="str">
        <x:v>共同校订</x:v>
      </x:c>
      <x:c r="C48" s="6" t="str">
        <x:v>双向征兆</x:v>
      </x:c>
      <x:c r="D48" s="6" t="str">
        <x:v>核心</x:v>
      </x:c>
      <x:c r="E48" s="25" t="n">
        <x:v>18</x:v>
      </x:c>
      <x:c r="F48" s="25" t="n">
        <x:v>1</x:v>
      </x:c>
      <x:c r="G48" s="25" t="n">
        <x:v>0</x:v>
      </x:c>
      <x:c r="H48" s="9" t="str">
        <x:v>自身及玩家</x:v>
      </x:c>
      <x:c r="I48" s="25" t="n">
        <x:v>2</x:v>
      </x:c>
      <x:c r="J48" s="25" t="n">
        <x:v>0</x:v>
      </x:c>
      <x:c r="K48" s="27" t="n">
        <x:f>IF(J48=0,0,MIN(ROUNDUP(J48*'调参规则'!$B$6,0),'调参规则'!$B$18))</x:f>
        <x:v>0</x:v>
      </x:c>
      <x:c r="L48" s="27" t="n">
        <x:f>IF(J48=0,0,MIN(ROUNDUP(J48*'调参规则'!$B$7,0),'调参规则'!$B$19))</x:f>
        <x:v>0</x:v>
      </x:c>
      <x:c r="M48" s="27" t="n">
        <x:f>IF(J48=0,0,MIN(ROUNDUP(J48*'调参规则'!$B$8,0),'调参规则'!$B$20))</x:f>
        <x:v>0</x:v>
      </x:c>
      <x:c r="N48" s="27" t="n">
        <x:f>IF(J48=0,0,MIN(ROUNDUP(J48*'调参规则'!$B$9,0),'调参规则'!$B$21))</x:f>
        <x:v>0</x:v>
      </x:c>
      <x:c r="O48" s="6" t="str">
        <x:v>无</x:v>
      </x:c>
      <x:c r="P48" s="25" t="n">
        <x:v>0</x:v>
      </x:c>
      <x:c r="Q48" s="25" t="n">
        <x:v>1</x:v>
      </x:c>
      <x:c r="R48" s="6" t="str">
        <x:v>boon</x:v>
      </x:c>
      <x:c r="S48" s="6" t="str">
        <x:v>建议值／未实装</x:v>
      </x:c>
    </x:row>
  </x:sheetData>
  <x:mergeCells>
    <x:mergeCell ref="A2:D2"/>
    <x:mergeCell ref="A4:S4"/>
  </x:mergeCells>
  <x:pageMargins left="0.7" right="0.7" top="0.75" bottom="0.75" header="0.3" footer="0.3"/>
  <x:tableParts count="1">
    <x:tablePart xmlns:r="http://schemas.openxmlformats.org/officeDocument/2006/relationships" r:id="R18b23e6b491b4c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9" hidden="0" customWidth="1"/>
    <x:col min="3" max="3" width="84" hidden="0" customWidth="1"/>
    <x:col min="4" max="4" width="62" hidden="0" customWidth="1"/>
    <x:col min="5" max="5" width="62" hidden="0" customWidth="1"/>
    <x:col min="6" max="6" width="25" hidden="0" customWidth="1"/>
  </x:cols>
  <x:sheetData>
    <x:row r="1">
      <x:c r="A1" s="1"/>
      <x:c r="B1" s="1"/>
      <x:c r="C1" s="1"/>
      <x:c r="D1" s="1"/>
      <x:c r="E1" s="1"/>
      <x:c r="F1" s="1"/>
    </x:row>
    <x:row r="2" ht="27" customHeight="1">
      <x:c r="A2" s="2" t="str">
        <x:v>效果与反制 · 可用于开发验收</x:v>
      </x:c>
      <x:c r="B2" s="2"/>
      <x:c r="C2" s="2"/>
      <x:c r="D2" s="2"/>
      <x:c r="E2" s="1"/>
      <x:c r="F2" s="1"/>
    </x:row>
    <x:row r="3">
      <x:c r="A3" s="3"/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34" customHeight="1">
      <x:c r="A5" s="8" t="str">
        <x:v>技能ID</x:v>
      </x:c>
      <x:c r="B5" s="8" t="str">
        <x:v>中文名</x:v>
      </x:c>
      <x:c r="C5" s="8" t="str">
        <x:v>完整效果与叠加限制</x:v>
      </x:c>
      <x:c r="D5" s="8" t="str">
        <x:v>合法施放条件</x:v>
      </x:c>
      <x:c r="E5" s="8" t="str">
        <x:v>玩家反制</x:v>
      </x:c>
      <x:c r="F5" s="8" t="str">
        <x:v>实现状态</x:v>
      </x:c>
    </x:row>
    <x:row r="6" ht="60" customHeight="1">
      <x:c r="A6" s="6" t="str">
        <x:v>paper_dart</x:v>
      </x:c>
      <x:c r="B6" s="6" t="str">
        <x:v>折页穿针</x:v>
      </x:c>
      <x:c r="C6" s="6" t="str">
        <x:v>首个相交目标受伤；不穿高墙、不跳弹。</x:v>
      </x:c>
      <x:c r="D6" s="6" t="str">
        <x:v>目标可见、距离2–4；射线上有可命中目标。</x:v>
      </x:c>
      <x:c r="E6" s="6" t="str">
        <x:v>横移一格或用高墙遮挡。</x:v>
      </x:c>
      <x:c r="F6" s="6" t="str">
        <x:v>建议值／未实装</x:v>
      </x:c>
    </x:row>
    <x:row r="7" ht="60" customHeight="1">
      <x:c r="A7" s="5" t="str">
        <x:v>fold_guard</x:v>
      </x:c>
      <x:c r="B7" s="5" t="str">
        <x:v>折面护身</x:v>
      </x:c>
      <x:c r="C7" s="5" t="str">
        <x:v>护折：接下来2回合第一次受击减1，最低1；最多抵挡一次。</x:v>
      </x:c>
      <x:c r="D7" s="5" t="str">
        <x:v>自身完整度≤60%，且无护折。</x:v>
      </x:c>
      <x:c r="E7" s="5" t="str">
        <x:v>预警时打断，或等护折消失。</x:v>
      </x:c>
      <x:c r="F7" s="5" t="str">
        <x:v>建议值／未实装</x:v>
      </x:c>
    </x:row>
    <x:row r="8" ht="60" customHeight="1">
      <x:c r="A8" s="6" t="str">
        <x:v>echo_alert</x:v>
      </x:c>
      <x:c r="B8" s="6" t="str">
        <x:v>点名回声</x:v>
      </x:c>
      <x:c r="C8" s="6" t="str">
        <x:v>通知声路内最多2名同伴最后目击位置；不直接提高攻击力。</x:v>
      </x:c>
      <x:c r="D8" s="6" t="str">
        <x:v>确实存在未获此信息的同伴；目标可见。</x:v>
      </x:c>
      <x:c r="E8" s="6" t="str">
        <x:v>墙后离开声路；优先解决广播者。</x:v>
      </x:c>
      <x:c r="F8" s="6" t="str">
        <x:v>建议值／未实装</x:v>
      </x:c>
    </x:row>
    <x:row r="9" ht="60" customHeight="1">
      <x:c r="A9" s="5" t="str">
        <x:v>model_push</x:v>
      </x:c>
      <x:c r="B9" s="5" t="str">
        <x:v>模型推移</x:v>
      </x:c>
      <x:c r="C9" s="5" t="str">
        <x:v>命中后推1格；推入危险格需提前标明目的格；不额外撞墙伤害。</x:v>
      </x:c>
      <x:c r="D9" s="5" t="str">
        <x:v>邻近目标且预警格可命中。</x:v>
      </x:c>
      <x:c r="E9" s="5" t="str">
        <x:v>横移；目的格被占或封死则不推动。</x:v>
      </x:c>
      <x:c r="F9" s="5" t="str">
        <x:v>建议值／未实装</x:v>
      </x:c>
    </x:row>
    <x:row r="10" ht="60" customHeight="1">
      <x:c r="A10" s="6" t="str">
        <x:v>cool_drain</x:v>
      </x:c>
      <x:c r="B10" s="6" t="str">
        <x:v>冷却抽离</x:v>
      </x:c>
      <x:c r="C10" s="6" t="str">
        <x:v>清除每格最多8液量、8气量；不移除逻辑源、任务液体或永久来源。</x:v>
      </x:c>
      <x:c r="D10" s="6" t="str">
        <x:v>影响格至少一格有可改造介质。</x:v>
      </x:c>
      <x:c r="E10" s="6" t="str">
        <x:v>离开抽离区；利用被抽干处阻断余电。</x:v>
      </x:c>
      <x:c r="F10" s="6" t="str">
        <x:v>建议值／未实装</x:v>
      </x:c>
    </x:row>
    <x:row r="11" ht="60" customHeight="1">
      <x:c r="A11" s="5" t="str">
        <x:v>light_trace</x:v>
      </x:c>
      <x:c r="B11" s="5" t="str">
        <x:v>逆光划痕</x:v>
      </x:c>
      <x:c r="C11" s="5" t="str">
        <x:v>直线单次打击；不锁定移动后的玩家，不附额外灼伤。</x:v>
      </x:c>
      <x:c r="D11" s="5" t="str">
        <x:v>可见目标距离2–4。</x:v>
      </x:c>
      <x:c r="E11" s="5" t="str">
        <x:v>离开射线或进入高墙掩护。</x:v>
      </x:c>
      <x:c r="F11" s="5" t="str">
        <x:v>建议值／未实装</x:v>
      </x:c>
    </x:row>
    <x:row r="12" ht="60" customHeight="1">
      <x:c r="A12" s="6" t="str">
        <x:v>clock_drag</x:v>
      </x:c>
      <x:c r="B12" s="6" t="str">
        <x:v>迟到一拍</x:v>
      </x:c>
      <x:c r="C12" s="6" t="str">
        <x:v>迟拍：移动耗时+0.3，持续2回合；不影响攻击、施法或增加沉眠回合。</x:v>
      </x:c>
      <x:c r="D12" s="6" t="str">
        <x:v>玩家可见且没有迟拍。</x:v>
      </x:c>
      <x:c r="E12" s="6" t="str">
        <x:v>离开落点；净化可解除。</x:v>
      </x:c>
      <x:c r="F12" s="6" t="str">
        <x:v>建议值／未实装</x:v>
      </x:c>
    </x:row>
    <x:row r="13" ht="60" customHeight="1">
      <x:c r="A13" s="5" t="str">
        <x:v>mirror_swap</x:v>
      </x:c>
      <x:c r="B13" s="5" t="str">
        <x:v>镜侧迁步</x:v>
      </x:c>
      <x:c r="C13" s="5" t="str">
        <x:v>自身挪移到目标侧面可通行空格；不与玩家交换、不跨保护门。</x:v>
      </x:c>
      <x:c r="D13" s="5" t="str">
        <x:v>距离2–3，存在合法可见目的格。</x:v>
      </x:c>
      <x:c r="E13" s="5" t="str">
        <x:v>占住目的格；挪移后可追击。</x:v>
      </x:c>
      <x:c r="F13" s="5" t="str">
        <x:v>建议值／未实装</x:v>
      </x:c>
    </x:row>
    <x:row r="14" ht="60" customHeight="1">
      <x:c r="A14" s="6" t="str">
        <x:v>seam_bind</x:v>
      </x:c>
      <x:c r="B14" s="6" t="str">
        <x:v>缝影</x:v>
      </x:c>
      <x:c r="C14" s="6" t="str">
        <x:v>缝影：下一次移动额外耗时0.5；攻击、道具和构想可用；不硬冻结。</x:v>
      </x:c>
      <x:c r="D14" s="6" t="str">
        <x:v>目标可见、未缝影。</x:v>
      </x:c>
      <x:c r="E14" s="6" t="str">
        <x:v>横移；切断视线或净化。</x:v>
      </x:c>
      <x:c r="F14" s="6" t="str">
        <x:v>建议值／未实装</x:v>
      </x:c>
    </x:row>
    <x:row r="15" ht="60" customHeight="1">
      <x:c r="A15" s="5" t="str">
        <x:v>vine_grow</x:v>
      </x:c>
      <x:c r="B15" s="5" t="str">
        <x:v>盆中蔓延</x:v>
      </x:c>
      <x:c r="C15" s="5" t="str">
        <x:v>临时根丝最多3格，移动耗时+0.2；可通行、可燃；到期消失。</x:v>
      </x:c>
      <x:c r="D15" s="5" t="str">
        <x:v>有非保护空地，且该来源无存活根丝。</x:v>
      </x:c>
      <x:c r="E15" s="5" t="str">
        <x:v>绕开或烧掉根丝；利用根丝引燃敌人。</x:v>
      </x:c>
      <x:c r="F15" s="5" t="str">
        <x:v>建议值／未实装</x:v>
      </x:c>
    </x:row>
    <x:row r="16" ht="60" customHeight="1">
      <x:c r="A16" s="6" t="str">
        <x:v>mislabel</x:v>
      </x:c>
      <x:c r="B16" s="6" t="str">
        <x:v>错贴标签</x:v>
      </x:c>
      <x:c r="C16" s="6" t="str">
        <x:v>失焦：仅视野半径−1，下限3；不隐藏地形预警、格子坐标或数值。</x:v>
      </x:c>
      <x:c r="D16" s="6" t="str">
        <x:v>目标可见且无失焦。</x:v>
      </x:c>
      <x:c r="E16" s="6" t="str">
        <x:v>横移、净化；技能预警不受失焦影响。</x:v>
      </x:c>
      <x:c r="F16" s="6" t="str">
        <x:v>建议值／未实装</x:v>
      </x:c>
    </x:row>
    <x:row r="17" ht="60" customHeight="1">
      <x:c r="A17" s="5" t="str">
        <x:v>echo_dash</x:v>
      </x:c>
      <x:c r="B17" s="5" t="str">
        <x:v>抄写一步</x:v>
      </x:c>
      <x:c r="C17" s="5" t="str">
        <x:v>沿预警线最多前进2格，撞到首个目标结束并造成一次创伤。</x:v>
      </x:c>
      <x:c r="D17" s="5" t="str">
        <x:v>线路合法，目标距离2–3。</x:v>
      </x:c>
      <x:c r="E17" s="5" t="str">
        <x:v>离开线；用箱子或高墙截断。</x:v>
      </x:c>
      <x:c r="F17" s="5" t="str">
        <x:v>建议值／未实装</x:v>
      </x:c>
    </x:row>
    <x:row r="18" ht="60" customHeight="1">
      <x:c r="A18" s="6" t="str">
        <x:v>slow_pool</x:v>
      </x:c>
      <x:c r="B18" s="6" t="str">
        <x:v>迟帧光斑</x:v>
      </x:c>
      <x:c r="C18" s="6" t="str">
        <x:v>迟帧场：场内移动耗时+0.2；离场立即解除，不叠加迟拍。</x:v>
      </x:c>
      <x:c r="D18" s="6" t="str">
        <x:v>落点可见，区域内无同源场。</x:v>
      </x:c>
      <x:c r="E18" s="6" t="str">
        <x:v>离场；异象也受减速，借其挡住追兵。</x:v>
      </x:c>
      <x:c r="F18" s="6" t="str">
        <x:v>建议值／未实装</x:v>
      </x:c>
    </x:row>
    <x:row r="19" ht="60" customHeight="1">
      <x:c r="A19" s="5" t="str">
        <x:v>return_charge</x:v>
      </x:c>
      <x:c r="B19" s="5" t="str">
        <x:v>折返冲刺</x:v>
      </x:c>
      <x:c r="C19" s="5" t="str">
        <x:v>沿最多3格冲刺，仅首个相交目标受伤；施放后恢复1回合。</x:v>
      </x:c>
      <x:c r="D19" s="5" t="str">
        <x:v>目标距离2–4且路径合法。</x:v>
      </x:c>
      <x:c r="E19" s="5" t="str">
        <x:v>横移，诱使冲刺落到不利地形。</x:v>
      </x:c>
      <x:c r="F19" s="5" t="str">
        <x:v>建议值／未实装</x:v>
      </x:c>
    </x:row>
    <x:row r="20" ht="60" customHeight="1">
      <x:c r="A20" s="6" t="str">
        <x:v>mind_bite</x:v>
      </x:c>
      <x:c r="B20" s="6" t="str">
        <x:v>噬念细线</x:v>
      </x:c>
      <x:c r="C20" s="6" t="str">
        <x:v>单次心智创伤；取消命中回想象的额外收益，防止双重资源抽取。</x:v>
      </x:c>
      <x:c r="D20" s="6" t="str">
        <x:v>可见目标距离2–4。</x:v>
      </x:c>
      <x:c r="E20" s="6" t="str">
        <x:v>横移或高墙遮挡。</x:v>
      </x:c>
      <x:c r="F20" s="6" t="str">
        <x:v>建议值／未实装</x:v>
      </x:c>
    </x:row>
    <x:row r="21" ht="60" customHeight="1">
      <x:c r="A21" s="5" t="str">
        <x:v>shadow_step</x:v>
      </x:c>
      <x:c r="B21" s="5" t="str">
        <x:v>无面潜步</x:v>
      </x:c>
      <x:c r="C21" s="5" t="str">
        <x:v>轻步：移动耗时−0.2，下限0.8；不隐形、不增强攻击速度。</x:v>
      </x:c>
      <x:c r="D21" s="5" t="str">
        <x:v>目标已警戒且距离≥3，无轻步。</x:v>
      </x:c>
      <x:c r="E21" s="5" t="str">
        <x:v>预警时打断；利用其追击路线。</x:v>
      </x:c>
      <x:c r="F21" s="5" t="str">
        <x:v>建议值／未实装</x:v>
      </x:c>
    </x:row>
    <x:row r="22" ht="60" customHeight="1">
      <x:c r="A22" s="6" t="str">
        <x:v>ink_pool</x:v>
      </x:c>
      <x:c r="B22" s="6" t="str">
        <x:v>倾墨</x:v>
      </x:c>
      <x:c r="C22" s="6" t="str">
        <x:v>临时墨迹场：移步+0.2，最多5格；不新增材料附着、不给资源DOT；不写永久液体。</x:v>
      </x:c>
      <x:c r="D22" s="6" t="str">
        <x:v>落点可见且非任务地形，无同源墨迹。</x:v>
      </x:c>
      <x:c r="E22" s="6" t="str">
        <x:v>离开墨迹；可诱导敌人踏入。</x:v>
      </x:c>
      <x:c r="F22" s="6" t="str">
        <x:v>建议值／未实装</x:v>
      </x:c>
    </x:row>
    <x:row r="23" ht="60" customHeight="1">
      <x:c r="A23" s="5" t="str">
        <x:v>lullaby</x:v>
      </x:c>
      <x:c r="B23" s="5" t="str">
        <x:v>断续摇篮曲</x:v>
      </x:c>
      <x:c r="C23" s="5" t="str">
        <x:v>倦意：下一次移动+0.5；不能强制等待、加沉眠回合或禁止道具。</x:v>
      </x:c>
      <x:c r="D23" s="5" t="str">
        <x:v>目标可见，无倦意且控制保护窗结束。</x:v>
      </x:c>
      <x:c r="E23" s="5" t="str">
        <x:v>两回合内离开落点；打断吟唱。</x:v>
      </x:c>
      <x:c r="F23" s="5" t="str">
        <x:v>建议值／未实装</x:v>
      </x:c>
    </x:row>
    <x:row r="24" ht="60" customHeight="1">
      <x:c r="A24" s="6" t="str">
        <x:v>wake_allies</x:v>
      </x:c>
      <x:c r="B24" s="6" t="str">
        <x:v>牧梦指引</x:v>
      </x:c>
      <x:c r="C24" s="6" t="str">
        <x:v>引路：同伴移步−0.2，下限0.8；不加伤、不加攻击速度；不能累乘。</x:v>
      </x:c>
      <x:c r="D24" s="6" t="str">
        <x:v>至少一名同伴追踪玩家，且无引路。</x:v>
      </x:c>
      <x:c r="E24" s="6" t="str">
        <x:v>打断支援者；用狭窄地形隔开同伴。</x:v>
      </x:c>
      <x:c r="F24" s="6" t="str">
        <x:v>建议值／未实装</x:v>
      </x:c>
    </x:row>
    <x:row r="25" ht="60" customHeight="1">
      <x:c r="A25" s="5" t="str">
        <x:v>fire_seed</x:v>
      </x:c>
      <x:c r="B25" s="5" t="str">
        <x:v>三点焚歌</x:v>
      </x:c>
      <x:c r="C25" s="5" t="str">
        <x:v>生成3格临时火焰2回合；每回合清醒/完整度−1；水与防火地面不生成。</x:v>
      </x:c>
      <x:c r="D25" s="5" t="str">
        <x:v>有可见合法落点；已存在同源火场时不施放。</x:v>
      </x:c>
      <x:c r="E25" s="5" t="str">
        <x:v>横移、泼水、护火；引燃原有燃料可能波及施法者。</x:v>
      </x:c>
      <x:c r="F25" s="5" t="str">
        <x:v>建议值／未实装</x:v>
      </x:c>
    </x:row>
    <x:row r="26" ht="60" customHeight="1">
      <x:c r="A26" s="6" t="str">
        <x:v>electric_stitch</x:v>
      </x:c>
      <x:c r="B26" s="6" t="str">
        <x:v>导忆电针</x:v>
      </x:c>
      <x:c r="C26" s="6" t="str">
        <x:v>初击一次；导电距离≤2、最多6格，余电每回合1共2次；电痉挛移步+0.3仅1回合，不冻攻击。</x:v>
      </x:c>
      <x:c r="D26" s="6" t="str">
        <x:v>可见导电落点；水/导电液量≥8或金属，至少有一条安全退路。</x:v>
      </x:c>
      <x:c r="E26" s="6" t="str">
        <x:v>横移到干地；抽干或断开导电桥；双方都受余电。</x:v>
      </x:c>
      <x:c r="F26" s="6" t="str">
        <x:v>建议值／未实装</x:v>
      </x:c>
    </x:row>
    <x:row r="27" ht="60" customHeight="1">
      <x:c r="A27" s="5" t="str">
        <x:v>gift_bomb</x:v>
      </x:c>
      <x:c r="B27" s="5" t="str">
        <x:v>拆封爆点</x:v>
      </x:c>
      <x:c r="C27" s="5" t="str">
        <x:v>固定落点爆破，单次伤害用本技能参数，不叠调用旧_explode玩家伤害；推动1格。</x:v>
      </x:c>
      <x:c r="D27" s="5" t="str">
        <x:v>距离2–5且落点可见；每来源最多1枚。</x:v>
      </x:c>
      <x:c r="E27" s="5" t="str">
        <x:v>离开十字；高墙截断冲击；可提前拆解引信。</x:v>
      </x:c>
      <x:c r="F27" s="5" t="str">
        <x:v>建议值／未实装</x:v>
      </x:c>
    </x:row>
    <x:row r="28" ht="60" customHeight="1">
      <x:c r="A28" s="6" t="str">
        <x:v>fog_veil</x:v>
      </x:c>
      <x:c r="B28" s="6" t="str">
        <x:v>小口雾幕</x:v>
      </x:c>
      <x:c r="C28" s="6" t="str">
        <x:v>临时薄雾场：经过该格的远程视线受阻；贴身攻击可用；无附着伤害。</x:v>
      </x:c>
      <x:c r="D28" s="6" t="str">
        <x:v>至少一条敌我远程路径穿过落点，不遮唯一出口。</x:v>
      </x:c>
      <x:c r="E28" s="6" t="str">
        <x:v>绕侧面，利用薄雾躲其他异象射线。</x:v>
      </x:c>
      <x:c r="F28" s="6" t="str">
        <x:v>建议值／未实装</x:v>
      </x:c>
    </x:row>
    <x:row r="29" ht="60" customHeight="1">
      <x:c r="A29" s="5" t="str">
        <x:v>edit_heal</x:v>
      </x:c>
      <x:c r="B29" s="5" t="str">
        <x:v>自我修订</x:v>
      </x:c>
      <x:c r="C29" s="5" t="str">
        <x:v>完整度恢复2，且每遭遇累计恢复≤首次最大完整度20%向下取整；核心累计≤10%。</x:v>
      </x:c>
      <x:c r="D29" s="5" t="str">
        <x:v>合法目标完整度≤50%，仍有治疗预算。</x:v>
      </x:c>
      <x:c r="E29" s="5" t="str">
        <x:v>受击打断；压低治疗目标；治疗不用永久增上限。</x:v>
      </x:c>
      <x:c r="F29" s="5" t="str">
        <x:v>建议值／未实装</x:v>
      </x:c>
    </x:row>
    <x:row r="30" ht="60" customHeight="1">
      <x:c r="A30" s="6" t="str">
        <x:v>space_fold</x:v>
      </x:c>
      <x:c r="B30" s="6" t="str">
        <x:v>房间折线</x:v>
      </x:c>
      <x:c r="C30" s="6" t="str">
        <x:v>最多2格可击破临时折面（完整度2）；只挡弹道，不挡行走；到期还原。</x:v>
      </x:c>
      <x:c r="D30" s="6" t="str">
        <x:v>合法非保护地形；没有该来源折面。</x:v>
      </x:c>
      <x:c r="E30" s="6" t="str">
        <x:v>穿过去近战，或打破折面；不能封唯一通路。</x:v>
      </x:c>
      <x:c r="F30" s="6" t="str">
        <x:v>建议值／未实装</x:v>
      </x:c>
    </x:row>
    <x:row r="31" ht="60" customHeight="1">
      <x:c r="A31" s="5" t="str">
        <x:v>split_echo</x:v>
      </x:c>
      <x:c r="B31" s="5" t="str">
        <x:v>双重残影</x:v>
      </x:c>
      <x:c r="C31" s="5" t="str">
        <x:v>召1只残影：完整度2、单击1、攻击耗时2、存活4回合；无技能无掉落；同来源上限1。</x:v>
      </x:c>
      <x:c r="D31" s="5" t="str">
        <x:v>出生空格可见且合法，场上同源残影0。</x:v>
      </x:c>
      <x:c r="E31" s="5" t="str">
        <x:v>打断或占据出生格；先击本体可消除残影。</x:v>
      </x:c>
      <x:c r="F31" s="5" t="str">
        <x:v>建议值／未实装</x:v>
      </x:c>
    </x:row>
    <x:row r="32" ht="60" customHeight="1">
      <x:c r="A32" s="6" t="str">
        <x:v>choir_guard</x:v>
      </x:c>
      <x:c r="B32" s="6" t="str">
        <x:v>和声护幕</x:v>
      </x:c>
      <x:c r="C32" s="6" t="str">
        <x:v>护幕：每目标下一击減1，最低1；与护折取最大，不刷新已存在护幕。</x:v>
      </x:c>
      <x:c r="D32" s="6" t="str">
        <x:v>至少一名可获护幕目标；不影响已满减伤者。</x:v>
      </x:c>
      <x:c r="E32" s="6" t="str">
        <x:v>预警打断；先用小伤害消耗，或等待2回合。</x:v>
      </x:c>
      <x:c r="F32" s="6" t="str">
        <x:v>建议值／未实装</x:v>
      </x:c>
    </x:row>
    <x:row r="33" ht="60" customHeight="1">
      <x:c r="A33" s="5" t="str">
        <x:v>stair_fracture</x:v>
      </x:c>
      <x:c r="B33" s="5" t="str">
        <x:v>阶沿崩解</x:v>
      </x:c>
      <x:c r="C33" s="5" t="str">
        <x:v>可破普通墙完整度−20；不一次清空整墙，不改机关墙、边界、出口或箱子。</x:v>
      </x:c>
      <x:c r="D33" s="5" t="str">
        <x:v>合法普通墙且可打开战术路线。</x:v>
      </x:c>
      <x:c r="E33" s="5" t="str">
        <x:v>远离预警墙；用打开的缺口改变路线。</x:v>
      </x:c>
      <x:c r="F33" s="5" t="str">
        <x:v>建议值／未实装</x:v>
      </x:c>
    </x:row>
    <x:row r="34" ht="60" customHeight="1">
      <x:c r="A34" s="6" t="str">
        <x:v>redact_buff</x:v>
      </x:c>
      <x:c r="B34" s="6" t="str">
        <x:v>划除征兆</x:v>
      </x:c>
      <x:c r="C34" s="6" t="str">
        <x:v>驱散玩家一个非任务正面征兆，固定优先护盾→轻步→回复；不永久封构想。</x:v>
      </x:c>
      <x:c r="D34" s="6" t="str">
        <x:v>玩家确有可驱散的临时正面征兆。</x:v>
      </x:c>
      <x:c r="E34" s="6" t="str">
        <x:v>离开落点、切视线或打断；装备常驻效果不能驱散。</x:v>
      </x:c>
      <x:c r="F34" s="6" t="str">
        <x:v>建议值／未实装</x:v>
      </x:c>
    </x:row>
    <x:row r="35" ht="60" customHeight="1">
      <x:c r="A35" s="5" t="str">
        <x:v>abyss_pull</x:v>
      </x:c>
      <x:c r="B35" s="5" t="str">
        <x:v>量尺收线</x:v>
      </x:c>
      <x:c r="C35" s="5" t="str">
        <x:v>命中后沿已预警方向拉1格；不穿墙、不拉入未标明危险、不连拉。</x:v>
      </x:c>
      <x:c r="D35" s="5" t="str">
        <x:v>可见目标距离2–5，有合法目的格。</x:v>
      </x:c>
      <x:c r="E35" s="5" t="str">
        <x:v>横移；高墙或实体阻断；控制保护窗内不位移。</x:v>
      </x:c>
      <x:c r="F35" s="5" t="str">
        <x:v>建议值／未实装</x:v>
      </x:c>
    </x:row>
    <x:row r="36" ht="60" customHeight="1">
      <x:c r="A36" s="6" t="str">
        <x:v>oblivion_mark</x:v>
      </x:c>
      <x:c r="B36" s="6" t="str">
        <x:v>遗忘批注</x:v>
      </x:c>
      <x:c r="C36" s="6" t="str">
        <x:v>淡墨：每回合想象−1共2点，非材料来源，不附着、不按深度放大；不得同时再抽心智。</x:v>
      </x:c>
      <x:c r="D36" s="6" t="str">
        <x:v>无淡墨，想象&gt;0，控制保护窗结束。</x:v>
      </x:c>
      <x:c r="E36" s="6" t="str">
        <x:v>横移；净化；保持构想想象余额。</x:v>
      </x:c>
      <x:c r="F36" s="6" t="str">
        <x:v>建议值／未实装</x:v>
      </x:c>
    </x:row>
    <x:row r="37" ht="60" customHeight="1">
      <x:c r="A37" s="5" t="str">
        <x:v>nightmare_patch</x:v>
      </x:c>
      <x:c r="B37" s="5" t="str">
        <x:v>噩梦缝补</x:v>
      </x:c>
      <x:c r="C37" s="5" t="str">
        <x:v>梦刺场：每回合心智−1，最多2次；敌人完整度−1；同格场伤取最大不叠加。</x:v>
      </x:c>
      <x:c r="D37" s="5" t="str">
        <x:v>区域无同源场且不会堵住唯一安全通路。</x:v>
      </x:c>
      <x:c r="E37" s="5" t="str">
        <x:v>离场；诱导追兵踏入；镇静按环境规则防护。</x:v>
      </x:c>
      <x:c r="F37" s="5" t="str">
        <x:v>建议值／未实装</x:v>
      </x:c>
    </x:row>
    <x:row r="38" ht="60" customHeight="1">
      <x:c r="A38" s="6" t="str">
        <x:v>null_ray</x:v>
      </x:c>
      <x:c r="B38" s="6" t="str">
        <x:v>空白光束</x:v>
      </x:c>
      <x:c r="C38" s="6" t="str">
        <x:v>最多5格单次射线；首个实体截断，无穿墙及追踪修正。</x:v>
      </x:c>
      <x:c r="D38" s="6" t="str">
        <x:v>可见目标距离2–5。</x:v>
      </x:c>
      <x:c r="E38" s="6" t="str">
        <x:v>横移；高墙或同伴挡线。</x:v>
      </x:c>
      <x:c r="F38" s="6" t="str">
        <x:v>建议值／未实装</x:v>
      </x:c>
    </x:row>
    <x:row r="39" ht="60" customHeight="1">
      <x:c r="A39" s="5" t="str">
        <x:v>core_beacon</x:v>
      </x:c>
      <x:c r="B39" s="5" t="str">
        <x:v>灯塔转光</x:v>
      </x:c>
      <x:c r="C39" s="5" t="str">
        <x:v>固定朝向扇形最多7格；每目标仅一次；预警时亮出两条边及全部受害格样式。</x:v>
      </x:c>
      <x:c r="D39" s="5" t="str">
        <x:v>目标可见；所有可能受害格进入预警。</x:v>
      </x:c>
      <x:c r="E39" s="5" t="str">
        <x:v>沿扇边离开或用高墙掩护。</x:v>
      </x:c>
      <x:c r="F39" s="5" t="str">
        <x:v>建议值／未实装</x:v>
      </x:c>
    </x:row>
    <x:row r="40" ht="60" customHeight="1">
      <x:c r="A40" s="6" t="str">
        <x:v>core_summon</x:v>
      </x:c>
      <x:c r="B40" s="6" t="str">
        <x:v>执念落影</x:v>
      </x:c>
      <x:c r="C40" s="6" t="str">
        <x:v>召1只专属残影：完整度3、单击1、攻击耗时2、存活5回合；同源上限2；无技能、掉落、奖励。</x:v>
      </x:c>
      <x:c r="D40" s="6" t="str">
        <x:v>召唤预算未满，出生空格可见合法。</x:v>
      </x:c>
      <x:c r="E40" s="6" t="str">
        <x:v>占出生格、打断或击本体；残影会到期。</x:v>
      </x:c>
      <x:c r="F40" s="6" t="str">
        <x:v>建议值／未实装</x:v>
      </x:c>
    </x:row>
    <x:row r="41" ht="60" customHeight="1">
      <x:c r="A41" s="5" t="str">
        <x:v>core_period</x:v>
      </x:c>
      <x:c r="B41" s="5" t="str">
        <x:v>句末吞墨</x:v>
      </x:c>
      <x:c r="C41" s="5" t="str">
        <x:v>单次心智创伤；若命中仅扣想象1，不附加淡墨或材料DOT。</x:v>
      </x:c>
      <x:c r="D41" s="5" t="str">
        <x:v>目标可见，控制保护窗结束。</x:v>
      </x:c>
      <x:c r="E41" s="5" t="str">
        <x:v>离开十字；净化不能抵挡一次伤害。</x:v>
      </x:c>
      <x:c r="F41" s="5" t="str">
        <x:v>建议值／未实装</x:v>
      </x:c>
    </x:row>
    <x:row r="42" ht="60" customHeight="1">
      <x:c r="A42" s="6" t="str">
        <x:v>core_pause</x:v>
      </x:c>
      <x:c r="B42" s="6" t="str">
        <x:v>未完停顿</x:v>
      </x:c>
      <x:c r="C42" s="6" t="str">
        <x:v>驻足：接下来1客观回合不能移动；道具、构想、攻击可用；结束后4回合控制保护。</x:v>
      </x:c>
      <x:c r="D42" s="6" t="str">
        <x:v>玩家无驻足且控制保护窗结束；不和伤害大招同时落下。</x:v>
      </x:c>
      <x:c r="E42" s="6" t="str">
        <x:v>提前离格；打断；净化或位移构想解除。</x:v>
      </x:c>
      <x:c r="F42" s="6" t="str">
        <x:v>建议值／未实装</x:v>
      </x:c>
    </x:row>
    <x:row r="43" ht="60" customHeight="1">
      <x:c r="A43" s="5" t="str">
        <x:v>core_cry</x:v>
      </x:c>
      <x:c r="B43" s="5" t="str">
        <x:v>初啼声浪</x:v>
      </x:c>
      <x:c r="C43" s="5" t="str">
        <x:v>半径2声浪，仅可见连通声路有效；通知最多2同伴，取消原全层无距离创伤。</x:v>
      </x:c>
      <x:c r="D43" s="5" t="str">
        <x:v>可见目标，声路合法，有可逃出受害格。</x:v>
      </x:c>
      <x:c r="E43" s="5" t="str">
        <x:v>离开菱形；厚墙阻隔；不在雾后全层伤人。</x:v>
      </x:c>
      <x:c r="F43" s="5" t="str">
        <x:v>建议值／未实装</x:v>
      </x:c>
    </x:row>
    <x:row r="44" ht="60" customHeight="1">
      <x:c r="A44" s="6" t="str">
        <x:v>core_chill</x:v>
      </x:c>
      <x:c r="B44" s="6" t="str">
        <x:v>冻嚎</x:v>
      </x:c>
      <x:c r="C44" s="6" t="str">
        <x:v>3格寒痕：移步+0.3，不冻结、不沉眠、不附加冰冻资源伤；双方受影响。</x:v>
      </x:c>
      <x:c r="D44" s="6" t="str">
        <x:v>目标可见、无同源场、不与驻足重叠。</x:v>
      </x:c>
      <x:c r="E44" s="6" t="str">
        <x:v>横移；用寒痕拖慢追兵。</x:v>
      </x:c>
      <x:c r="F44" s="6" t="str">
        <x:v>建议值／未实装</x:v>
      </x:c>
    </x:row>
    <x:row r="45" ht="60" customHeight="1">
      <x:c r="A45" s="5" t="str">
        <x:v>scribe_stroke</x:v>
      </x:c>
      <x:c r="B45" s="5" t="str">
        <x:v>落笔断行</x:v>
      </x:c>
      <x:c r="C45" s="5" t="str">
        <x:v>最长6格固定射线，只打首个实体；三阶段均不跳过预警、不扩大成全屏。</x:v>
      </x:c>
      <x:c r="D45" s="5" t="str">
        <x:v>执笔者战斗阶段，目标可见。</x:v>
      </x:c>
      <x:c r="E45" s="5" t="str">
        <x:v>横移或用临时折面截断。</x:v>
      </x:c>
      <x:c r="F45" s="5" t="str">
        <x:v>建议值／未实装</x:v>
      </x:c>
    </x:row>
    <x:row r="46" ht="60" customHeight="1">
      <x:c r="A46" s="6" t="str">
        <x:v>scribe_draft</x:v>
      </x:c>
      <x:c r="B46" s="6" t="str">
        <x:v>未定草稿</x:v>
      </x:c>
      <x:c r="C46" s="6" t="str">
        <x:v>菱形单次创伤；命中受失焦2回合；不再额外生成残影或环境DOT。</x:v>
      </x:c>
      <x:c r="D46" s="6" t="str">
        <x:v>战斗阶段、区域至少保留安全退路。</x:v>
      </x:c>
      <x:c r="E46" s="6" t="str">
        <x:v>离开菱形；高墙挡冲击。</x:v>
      </x:c>
      <x:c r="F46" s="6" t="str">
        <x:v>建议值／未实装</x:v>
      </x:c>
    </x:row>
    <x:row r="47" ht="60" customHeight="1">
      <x:c r="A47" s="5" t="str">
        <x:v>scribe_erase</x:v>
      </x:c>
      <x:c r="B47" s="5" t="str">
        <x:v>局部擦除</x:v>
      </x:c>
      <x:c r="C47" s="5" t="str">
        <x:v>清除最多5格临时敌方效果场；普通墙最多一格−20；不删事件、出口、掉落或玩家构想。</x:v>
      </x:c>
      <x:c r="D47" s="5" t="str">
        <x:v>区域有可清除临时场或合法普通墙。</x:v>
      </x:c>
      <x:c r="E47" s="5" t="str">
        <x:v>离开改造格；利用清掉的火、电、雾；机关区域免疫。</x:v>
      </x:c>
      <x:c r="F47" s="5" t="str">
        <x:v>建议值／未实装</x:v>
      </x:c>
    </x:row>
    <x:row r="48" ht="60" customHeight="1">
      <x:c r="A48" s="6" t="str">
        <x:v>scribe_revision</x:v>
      </x:c>
      <x:c r="B48" s="6" t="str">
        <x:v>共同校订</x:v>
      </x:c>
      <x:c r="C48" s="6" t="str">
        <x:v>本体移除一个负面征兆；玩家移除一个非任务负面征兆并想象+1；每阶段一次，不改HP。</x:v>
      </x:c>
      <x:c r="D48" s="6" t="str">
        <x:v>进入新战斗阶段后仅一次；本体或玩家确有可净化征兆。</x:v>
      </x:c>
      <x:c r="E48" s="6" t="str">
        <x:v>读懂金白预警可借机清除负面；正常输出不中断。</x:v>
      </x:c>
      <x:c r="F48" s="6" t="str">
        <x:v>建议值／未实装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a501593754994c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32" hidden="0" customWidth="1"/>
    <x:col min="3" max="3" width="15" hidden="0" customWidth="1"/>
    <x:col min="4" max="4" width="11" hidden="0" customWidth="1"/>
    <x:col min="5" max="5" width="11" hidden="0" customWidth="1"/>
    <x:col min="6" max="6" width="13" hidden="0" customWidth="1"/>
    <x:col min="7" max="7" width="12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12" hidden="0" customWidth="1"/>
    <x:col min="13" max="13" width="12" hidden="0" customWidth="1"/>
    <x:col min="14" max="14" width="12" hidden="0" customWidth="1"/>
    <x:col min="15" max="15" width="94" hidden="0" customWidth="1"/>
    <x:col min="16" max="16" width="86" hidden="0" customWidth="1"/>
    <x:col min="17" max="17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7" customHeight="1">
      <x:c r="A2" s="2" t="str">
        <x:v>异象技能绑定 · 56种／87个槽位</x:v>
      </x:c>
      <x:c r="B2" s="2"/>
      <x:c r="C2" s="2"/>
      <x:c r="D2" s="2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8" t="str">
        <x:v>异象ID</x:v>
      </x:c>
      <x:c r="B5" s="8" t="str">
        <x:v>现有中文名</x:v>
      </x:c>
      <x:c r="C5" s="8" t="str">
        <x:v>所属阶级</x:v>
      </x:c>
      <x:c r="D5" s="8" t="str">
        <x:v>主层起</x:v>
      </x:c>
      <x:c r="E5" s="8" t="str">
        <x:v>主层止</x:v>
      </x:c>
      <x:c r="F5" s="8" t="str">
        <x:v>现有完整度</x:v>
      </x:c>
      <x:c r="G5" s="8" t="str">
        <x:v>现有普攻</x:v>
      </x:c>
      <x:c r="H5" s="8" t="str">
        <x:v>主动1</x:v>
      </x:c>
      <x:c r="I5" s="8" t="str">
        <x:v>主动2</x:v>
      </x:c>
      <x:c r="J5" s="8" t="str">
        <x:v>主动3</x:v>
      </x:c>
      <x:c r="K5" s="8" t="str">
        <x:v>主动4</x:v>
      </x:c>
      <x:c r="L5" s="8" t="str">
        <x:v>主动数量</x:v>
      </x:c>
      <x:c r="M5" s="8" t="str">
        <x:v>初次延迟</x:v>
      </x:c>
      <x:c r="N5" s="8" t="str">
        <x:v>共享间隔</x:v>
      </x:c>
      <x:c r="O5" s="8" t="str">
        <x:v>绑定覆写/阶段</x:v>
      </x:c>
      <x:c r="P5" s="8" t="str">
        <x:v>旧机制迁移</x:v>
      </x:c>
      <x:c r="Q5" s="8" t="str">
        <x:v>状态</x:v>
      </x:c>
    </x:row>
    <x:row r="6" ht="58" customHeight="1">
      <x:c r="A6" s="6" t="str">
        <x:v>anomaly.page_hound</x:v>
      </x:c>
      <x:c r="B6" s="6" t="str">
        <x:v>纸页犬</x:v>
      </x:c>
      <x:c r="C6" s="6" t="str">
        <x:v>普通异象</x:v>
      </x:c>
      <x:c r="D6" s="27" t="n">
        <x:v>1</x:v>
      </x:c>
      <x:c r="E6" s="27" t="n">
        <x:v>5</x:v>
      </x:c>
      <x:c r="F6" s="27" t="n">
        <x:v>2</x:v>
      </x:c>
      <x:c r="G6" s="27" t="n">
        <x:v>1</x:v>
      </x:c>
      <x:c r="H6" s="6"/>
      <x:c r="I6" s="6"/>
      <x:c r="J6" s="6"/>
      <x:c r="K6" s="6"/>
      <x:c r="L6" s="27" t="n">
        <x:f>COUNTA(H6:K6)</x:f>
        <x:v>0</x:v>
      </x:c>
      <x:c r="M6" s="27" t="n">
        <x:v>2</x:v>
      </x:c>
      <x:c r="N6" s="27" t="n">
        <x:v>3</x:v>
      </x:c>
      <x:c r="O6" s="6" t="str">
        <x:v>按技能基础参数与所属阶级伤害上限；不追加旧技能效果。</x:v>
      </x:c>
      <x:c r="P6" s="6" t="str">
        <x:v>被动仅保留图鉴明确身份效果；相似旧主动不得与新技能重复结算。</x:v>
      </x:c>
      <x:c r="Q6" s="6" t="str">
        <x:v>设计提案／未实装</x:v>
      </x:c>
    </x:row>
    <x:row r="7" ht="58" customHeight="1">
      <x:c r="A7" s="5" t="str">
        <x:v>anomaly.folded_person</x:v>
      </x:c>
      <x:c r="B7" s="5" t="str">
        <x:v>折页人</x:v>
      </x:c>
      <x:c r="C7" s="5" t="str">
        <x:v>普通异象</x:v>
      </x:c>
      <x:c r="D7" s="28" t="n">
        <x:v>1</x:v>
      </x:c>
      <x:c r="E7" s="28" t="n">
        <x:v>6</x:v>
      </x:c>
      <x:c r="F7" s="28" t="n">
        <x:v>3</x:v>
      </x:c>
      <x:c r="G7" s="28" t="n">
        <x:v>2</x:v>
      </x:c>
      <x:c r="H7" s="5" t="str">
        <x:v>fold_guard</x:v>
      </x:c>
      <x:c r="I7" s="5"/>
      <x:c r="J7" s="5"/>
      <x:c r="K7" s="5"/>
      <x:c r="L7" s="28" t="n">
        <x:f>COUNTA(H7:K7)</x:f>
        <x:v>1</x:v>
      </x:c>
      <x:c r="M7" s="28" t="n">
        <x:v>2</x:v>
      </x:c>
      <x:c r="N7" s="28" t="n">
        <x:v>3</x:v>
      </x:c>
      <x:c r="O7" s="5" t="str">
        <x:v>按技能基础参数与所属阶级伤害上限；不追加旧技能效果。</x:v>
      </x:c>
      <x:c r="P7" s="5" t="str">
        <x:v>被动仅保留图鉴明确身份效果；相似旧主动不得与新技能重复结算。</x:v>
      </x:c>
      <x:c r="Q7" s="5" t="str">
        <x:v>设计提案／未实装</x:v>
      </x:c>
    </x:row>
    <x:row r="8" ht="58" customHeight="1">
      <x:c r="A8" s="6" t="str">
        <x:v>anomaly.reverse_drummer</x:v>
      </x:c>
      <x:c r="B8" s="6" t="str">
        <x:v>倒放鼓手</x:v>
      </x:c>
      <x:c r="C8" s="6" t="str">
        <x:v>普通异象</x:v>
      </x:c>
      <x:c r="D8" s="27" t="n">
        <x:v>4</x:v>
      </x:c>
      <x:c r="E8" s="27" t="n">
        <x:v>10</x:v>
      </x:c>
      <x:c r="F8" s="27" t="n">
        <x:v>4</x:v>
      </x:c>
      <x:c r="G8" s="27" t="n">
        <x:v>3</x:v>
      </x:c>
      <x:c r="H8" s="6" t="str">
        <x:v>echo_alert</x:v>
      </x:c>
      <x:c r="I8" s="6"/>
      <x:c r="J8" s="6"/>
      <x:c r="K8" s="6"/>
      <x:c r="L8" s="27" t="n">
        <x:f>COUNTA(H8:K8)</x:f>
        <x:v>1</x:v>
      </x:c>
      <x:c r="M8" s="27" t="n">
        <x:v>2</x:v>
      </x:c>
      <x:c r="N8" s="27" t="n">
        <x:v>3</x:v>
      </x:c>
      <x:c r="O8" s="6" t="str">
        <x:v>按技能基础参数与所属阶级伤害上限；不追加旧技能效果。</x:v>
      </x:c>
      <x:c r="P8" s="6" t="str">
        <x:v>删除drum_alert取模广播，迁入echo_alert；保留音色身份。</x:v>
      </x:c>
      <x:c r="Q8" s="6" t="str">
        <x:v>设计提案／未实装</x:v>
      </x:c>
    </x:row>
    <x:row r="9" ht="58" customHeight="1">
      <x:c r="A9" s="5" t="str">
        <x:v>anomaly.model_porter</x:v>
      </x:c>
      <x:c r="B9" s="5" t="str">
        <x:v>模型搬运工</x:v>
      </x:c>
      <x:c r="C9" s="5" t="str">
        <x:v>普通异象</x:v>
      </x:c>
      <x:c r="D9" s="28" t="n">
        <x:v>5</x:v>
      </x:c>
      <x:c r="E9" s="28" t="n">
        <x:v>11</x:v>
      </x:c>
      <x:c r="F9" s="28" t="n">
        <x:v>4</x:v>
      </x:c>
      <x:c r="G9" s="28" t="n">
        <x:v>3</x:v>
      </x:c>
      <x:c r="H9" s="5" t="str">
        <x:v>model_push</x:v>
      </x:c>
      <x:c r="I9" s="5"/>
      <x:c r="J9" s="5"/>
      <x:c r="K9" s="5"/>
      <x:c r="L9" s="28" t="n">
        <x:f>COUNTA(H9:K9)</x:f>
        <x:v>1</x:v>
      </x:c>
      <x:c r="M9" s="28" t="n">
        <x:v>2</x:v>
      </x:c>
      <x:c r="N9" s="28" t="n">
        <x:v>3</x:v>
      </x:c>
      <x:c r="O9" s="5" t="str">
        <x:v>按技能基础参数与所属阶级伤害上限；不追加旧技能效果。</x:v>
      </x:c>
      <x:c r="P9" s="5" t="str">
        <x:v>取消pusher贴身33%推挤，统一有预警推移。</x:v>
      </x:c>
      <x:c r="Q9" s="5" t="str">
        <x:v>设计提案／未实装</x:v>
      </x:c>
    </x:row>
    <x:row r="10" ht="58" customHeight="1">
      <x:c r="A10" s="6" t="str">
        <x:v>anomaly.silent_audience</x:v>
      </x:c>
      <x:c r="B10" s="6" t="str">
        <x:v>无声观众</x:v>
      </x:c>
      <x:c r="C10" s="6" t="str">
        <x:v>普通异象</x:v>
      </x:c>
      <x:c r="D10" s="27" t="n">
        <x:v>7</x:v>
      </x:c>
      <x:c r="E10" s="27" t="n">
        <x:v>13</x:v>
      </x:c>
      <x:c r="F10" s="27" t="n">
        <x:v>6</x:v>
      </x:c>
      <x:c r="G10" s="27" t="n">
        <x:v>5</x:v>
      </x:c>
      <x:c r="H10" s="6"/>
      <x:c r="I10" s="6"/>
      <x:c r="J10" s="6"/>
      <x:c r="K10" s="6"/>
      <x:c r="L10" s="27" t="n">
        <x:f>COUNTA(H10:K10)</x:f>
        <x:v>0</x:v>
      </x:c>
      <x:c r="M10" s="27" t="n">
        <x:v>2</x:v>
      </x:c>
      <x:c r="N10" s="27" t="n">
        <x:v>3</x:v>
      </x:c>
      <x:c r="O10" s="6" t="str">
        <x:v>按技能基础参数与所属阶级伤害上限；不追加旧技能效果。</x:v>
      </x:c>
      <x:c r="P10" s="6" t="str">
        <x:v>被动仅保留图鉴明确身份效果；相似旧主动不得与新技能重复结算。</x:v>
      </x:c>
      <x:c r="Q10" s="6" t="str">
        <x:v>设计提案／未实装</x:v>
      </x:c>
    </x:row>
    <x:row r="11" ht="58" customHeight="1">
      <x:c r="A11" s="5" t="str">
        <x:v>anomaly.cooling_doll</x:v>
      </x:c>
      <x:c r="B11" s="5" t="str">
        <x:v>冷却人偶</x:v>
      </x:c>
      <x:c r="C11" s="5" t="str">
        <x:v>普通异象</x:v>
      </x:c>
      <x:c r="D11" s="28" t="n">
        <x:v>6</x:v>
      </x:c>
      <x:c r="E11" s="28" t="n">
        <x:v>12</x:v>
      </x:c>
      <x:c r="F11" s="28" t="n">
        <x:v>5</x:v>
      </x:c>
      <x:c r="G11" s="28" t="n">
        <x:v>4</x:v>
      </x:c>
      <x:c r="H11" s="5" t="str">
        <x:v>cool_drain</x:v>
      </x:c>
      <x:c r="I11" s="5"/>
      <x:c r="J11" s="5"/>
      <x:c r="K11" s="5"/>
      <x:c r="L11" s="28" t="n">
        <x:f>COUNTA(H11:K11)</x:f>
        <x:v>1</x:v>
      </x:c>
      <x:c r="M11" s="28" t="n">
        <x:v>2</x:v>
      </x:c>
      <x:c r="N11" s="28" t="n">
        <x:v>3</x:v>
      </x:c>
      <x:c r="O11" s="5" t="str">
        <x:v>按技能基础参数与所属阶级伤害上限；不追加旧技能效果。</x:v>
      </x:c>
      <x:c r="P11" s="5" t="str">
        <x:v>替换每8回合自动抽干，进入战斗主动且占行动。</x:v>
      </x:c>
      <x:c r="Q11" s="5" t="str">
        <x:v>设计提案／未实装</x:v>
      </x:c>
    </x:row>
    <x:row r="12" ht="58" customHeight="1">
      <x:c r="A12" s="6" t="str">
        <x:v>anomaly.backlit_reader</x:v>
      </x:c>
      <x:c r="B12" s="6" t="str">
        <x:v>逆光读者</x:v>
      </x:c>
      <x:c r="C12" s="6" t="str">
        <x:v>普通异象</x:v>
      </x:c>
      <x:c r="D12" s="27" t="n">
        <x:v>7</x:v>
      </x:c>
      <x:c r="E12" s="27" t="n">
        <x:v>13</x:v>
      </x:c>
      <x:c r="F12" s="27" t="n">
        <x:v>5</x:v>
      </x:c>
      <x:c r="G12" s="27" t="n">
        <x:v>4</x:v>
      </x:c>
      <x:c r="H12" s="6" t="str">
        <x:v>light_trace</x:v>
      </x:c>
      <x:c r="I12" s="6"/>
      <x:c r="J12" s="6"/>
      <x:c r="K12" s="6"/>
      <x:c r="L12" s="27" t="n">
        <x:f>COUNTA(H12:K12)</x:f>
        <x:v>1</x:v>
      </x:c>
      <x:c r="M12" s="27" t="n">
        <x:v>2</x:v>
      </x:c>
      <x:c r="N12" s="27" t="n">
        <x:v>3</x:v>
      </x:c>
      <x:c r="O12" s="6" t="str">
        <x:v>按技能基础参数与所属阶级伤害上限；不追加旧技能效果。</x:v>
      </x:c>
      <x:c r="P12" s="6" t="str">
        <x:v>删除旧every=3的ranged命中；追踪身份保留。</x:v>
      </x:c>
      <x:c r="Q12" s="6" t="str">
        <x:v>设计提案／未实装</x:v>
      </x:c>
    </x:row>
    <x:row r="13" ht="58" customHeight="1">
      <x:c r="A13" s="5" t="str">
        <x:v>anomaly.echo_door</x:v>
      </x:c>
      <x:c r="B13" s="5" t="str">
        <x:v>回声门</x:v>
      </x:c>
      <x:c r="C13" s="5" t="str">
        <x:v>普通异象</x:v>
      </x:c>
      <x:c r="D13" s="28" t="n">
        <x:v>8</x:v>
      </x:c>
      <x:c r="E13" s="28" t="n">
        <x:v>14</x:v>
      </x:c>
      <x:c r="F13" s="28" t="n">
        <x:v>6</x:v>
      </x:c>
      <x:c r="G13" s="28" t="n">
        <x:v>5</x:v>
      </x:c>
      <x:c r="H13" s="5" t="str">
        <x:v>echo_alert</x:v>
      </x:c>
      <x:c r="I13" s="5" t="str">
        <x:v>fog_veil</x:v>
      </x:c>
      <x:c r="J13" s="5"/>
      <x:c r="K13" s="5"/>
      <x:c r="L13" s="28" t="n">
        <x:f>COUNTA(H13:K13)</x:f>
        <x:v>2</x:v>
      </x:c>
      <x:c r="M13" s="28" t="n">
        <x:v>2</x:v>
      </x:c>
      <x:c r="N13" s="28" t="n">
        <x:v>3</x:v>
      </x:c>
      <x:c r="O13" s="5" t="str">
        <x:v>按技能基础参数与所属阶级伤害上限；不追加旧技能效果。</x:v>
      </x:c>
      <x:c r="P13" s="5" t="str">
        <x:v>删除echo_pulse取模广播；旧skill文案按新定义生成。</x:v>
      </x:c>
      <x:c r="Q13" s="5" t="str">
        <x:v>设计提案／未实装</x:v>
      </x:c>
    </x:row>
    <x:row r="14" ht="58" customHeight="1">
      <x:c r="A14" s="6" t="str">
        <x:v>anomaly.faceless_editor</x:v>
      </x:c>
      <x:c r="B14" s="6" t="str">
        <x:v>强烈异象·无脸编辑</x:v>
      </x:c>
      <x:c r="C14" s="6" t="str">
        <x:v>强烈异象</x:v>
      </x:c>
      <x:c r="D14" s="27" t="n">
        <x:v>4</x:v>
      </x:c>
      <x:c r="E14" s="27" t="n">
        <x:v>12</x:v>
      </x:c>
      <x:c r="F14" s="27" t="n">
        <x:v>6</x:v>
      </x:c>
      <x:c r="G14" s="27" t="n">
        <x:v>5</x:v>
      </x:c>
      <x:c r="H14" s="6" t="str">
        <x:v>edit_heal</x:v>
      </x:c>
      <x:c r="I14" s="6" t="str">
        <x:v>paper_dart</x:v>
      </x:c>
      <x:c r="J14" s="6"/>
      <x:c r="K14" s="6"/>
      <x:c r="L14" s="27" t="n">
        <x:f>COUNTA(H14:K14)</x:f>
        <x:v>2</x:v>
      </x:c>
      <x:c r="M14" s="27" t="n">
        <x:v>2</x:v>
      </x:c>
      <x:c r="N14" s="27" t="n">
        <x:v>3</x:v>
      </x:c>
      <x:c r="O14" s="6" t="str">
        <x:v>按技能基础参数与所属阶级伤害上限；不追加旧技能效果。</x:v>
      </x:c>
      <x:c r="P14" s="6" t="str">
        <x:v>替换self_revise取模回血。</x:v>
      </x:c>
      <x:c r="Q14" s="6" t="str">
        <x:v>设计提案／未实装</x:v>
      </x:c>
    </x:row>
    <x:row r="15" ht="58" customHeight="1">
      <x:c r="A15" s="5" t="str">
        <x:v>anomaly.folded_room</x:v>
      </x:c>
      <x:c r="B15" s="5" t="str">
        <x:v>强烈异象·房间折叠体</x:v>
      </x:c>
      <x:c r="C15" s="5" t="str">
        <x:v>强烈异象</x:v>
      </x:c>
      <x:c r="D15" s="28" t="n">
        <x:v>6</x:v>
      </x:c>
      <x:c r="E15" s="28" t="n">
        <x:v>14</x:v>
      </x:c>
      <x:c r="F15" s="28" t="n">
        <x:v>7</x:v>
      </x:c>
      <x:c r="G15" s="28" t="n">
        <x:v>6</x:v>
      </x:c>
      <x:c r="H15" s="5" t="str">
        <x:v>space_fold</x:v>
      </x:c>
      <x:c r="I15" s="5" t="str">
        <x:v>mirror_swap</x:v>
      </x:c>
      <x:c r="J15" s="5"/>
      <x:c r="K15" s="5"/>
      <x:c r="L15" s="28" t="n">
        <x:f>COUNTA(H15:K15)</x:f>
        <x:v>2</x:v>
      </x:c>
      <x:c r="M15" s="28" t="n">
        <x:v>2</x:v>
      </x:c>
      <x:c r="N15" s="28" t="n">
        <x:v>3</x:v>
      </x:c>
      <x:c r="O15" s="5" t="str">
        <x:v>按技能基础参数与所属阶级伤害上限；不追加旧技能效果。</x:v>
      </x:c>
      <x:c r="P15" s="5" t="str">
        <x:v>替换room_shift受击瞬移为有预警主动。</x:v>
      </x:c>
      <x:c r="Q15" s="5" t="str">
        <x:v>设计提案／未实装</x:v>
      </x:c>
    </x:row>
    <x:row r="16" ht="58" customHeight="1">
      <x:c r="A16" s="6" t="str">
        <x:v>anomaly.unfinished_period</x:v>
      </x:c>
      <x:c r="B16" s="6" t="str">
        <x:v>核心执念·未完成句号</x:v>
      </x:c>
      <x:c r="C16" s="6" t="str">
        <x:v>核心执念</x:v>
      </x:c>
      <x:c r="D16" s="27" t="n">
        <x:v>20</x:v>
      </x:c>
      <x:c r="E16" s="27" t="n">
        <x:v>20</x:v>
      </x:c>
      <x:c r="F16" s="27" t="n">
        <x:v>45</x:v>
      </x:c>
      <x:c r="G16" s="27" t="n">
        <x:v>5</x:v>
      </x:c>
      <x:c r="H16" s="6" t="str">
        <x:v>core_period</x:v>
      </x:c>
      <x:c r="I16" s="6" t="str">
        <x:v>core_pause</x:v>
      </x:c>
      <x:c r="J16" s="6" t="str">
        <x:v>core_summon</x:v>
      </x:c>
      <x:c r="K16" s="6" t="str">
        <x:v>space_fold</x:v>
      </x:c>
      <x:c r="L16" s="27" t="n">
        <x:f>COUNTA(H16:K16)</x:f>
        <x:v>4</x:v>
      </x:c>
      <x:c r="M16" s="27" t="n">
        <x:v>3</x:v>
      </x:c>
      <x:c r="N16" s="27" t="n">
        <x:v>4</x:v>
      </x:c>
      <x:c r="O16" s="6" t="str">
        <x:v>space_fold按强烈异象参数；core_summon仅生成专属句读残影，不召正式折页人。</x:v>
      </x:c>
      <x:c r="P16" s="6" t="str">
        <x:v>核心执念旧_core_actives整体迁移并停用。</x:v>
      </x:c>
      <x:c r="Q16" s="6" t="str">
        <x:v>设计提案／未实装</x:v>
      </x:c>
    </x:row>
    <x:row r="17" ht="58" customHeight="1">
      <x:c r="A17" s="5" t="str">
        <x:v>anomaly.clock_keeper</x:v>
      </x:c>
      <x:c r="B17" s="5" t="str">
        <x:v>挂钟守夜人</x:v>
      </x:c>
      <x:c r="C17" s="5" t="str">
        <x:v>普通异象</x:v>
      </x:c>
      <x:c r="D17" s="28" t="n">
        <x:v>6</x:v>
      </x:c>
      <x:c r="E17" s="28" t="n">
        <x:v>12</x:v>
      </x:c>
      <x:c r="F17" s="28" t="n">
        <x:v>5</x:v>
      </x:c>
      <x:c r="G17" s="28" t="n">
        <x:v>4</x:v>
      </x:c>
      <x:c r="H17" s="5" t="str">
        <x:v>clock_drag</x:v>
      </x:c>
      <x:c r="I17" s="5"/>
      <x:c r="J17" s="5"/>
      <x:c r="K17" s="5"/>
      <x:c r="L17" s="28" t="n">
        <x:f>COUNTA(H17:K17)</x:f>
        <x:v>1</x:v>
      </x:c>
      <x:c r="M17" s="28" t="n">
        <x:v>2</x:v>
      </x:c>
      <x:c r="N17" s="28" t="n">
        <x:v>3</x:v>
      </x:c>
      <x:c r="O17" s="5" t="str">
        <x:v>按技能基础参数与所属阶级伤害上限；不追加旧技能效果。</x:v>
      </x:c>
      <x:c r="P17" s="5" t="str">
        <x:v>替换clock_pulse主动脉冲；保留外观，不额外全层警报。</x:v>
      </x:c>
      <x:c r="Q17" s="5" t="str">
        <x:v>设计提案／未实装</x:v>
      </x:c>
    </x:row>
    <x:row r="18" ht="58" customHeight="1">
      <x:c r="A18" s="6" t="str">
        <x:v>anomaly.mirror_attendant</x:v>
      </x:c>
      <x:c r="B18" s="6" t="str">
        <x:v>镜像侍者</x:v>
      </x:c>
      <x:c r="C18" s="6" t="str">
        <x:v>普通异象</x:v>
      </x:c>
      <x:c r="D18" s="27" t="n">
        <x:v>3</x:v>
      </x:c>
      <x:c r="E18" s="27" t="n">
        <x:v>9</x:v>
      </x:c>
      <x:c r="F18" s="27" t="n">
        <x:v>2</x:v>
      </x:c>
      <x:c r="G18" s="27" t="n">
        <x:v>2</x:v>
      </x:c>
      <x:c r="H18" s="6" t="str">
        <x:v>mirror_swap</x:v>
      </x:c>
      <x:c r="I18" s="6"/>
      <x:c r="J18" s="6"/>
      <x:c r="K18" s="6"/>
      <x:c r="L18" s="27" t="n">
        <x:f>COUNTA(H18:K18)</x:f>
        <x:v>1</x:v>
      </x:c>
      <x:c r="M18" s="27" t="n">
        <x:v>2</x:v>
      </x:c>
      <x:c r="N18" s="27" t="n">
        <x:v>3</x:v>
      </x:c>
      <x:c r="O18" s="6" t="str">
        <x:v>按技能基础参数与所属阶级伤害上限；不追加旧技能效果。</x:v>
      </x:c>
      <x:c r="P18" s="6" t="str">
        <x:v>被动仅保留图鉴明确身份效果；相似旧主动不得与新技能重复结算。</x:v>
      </x:c>
      <x:c r="Q18" s="6" t="str">
        <x:v>设计提案／未实装</x:v>
      </x:c>
    </x:row>
    <x:row r="19" ht="58" customHeight="1">
      <x:c r="A19" s="5" t="str">
        <x:v>anomaly.paper_fish</x:v>
      </x:c>
      <x:c r="B19" s="5" t="str">
        <x:v>纸鱼</x:v>
      </x:c>
      <x:c r="C19" s="5" t="str">
        <x:v>普通异象</x:v>
      </x:c>
      <x:c r="D19" s="28" t="n">
        <x:v>1</x:v>
      </x:c>
      <x:c r="E19" s="28" t="n">
        <x:v>6</x:v>
      </x:c>
      <x:c r="F19" s="28" t="n">
        <x:v>2</x:v>
      </x:c>
      <x:c r="G19" s="28" t="n">
        <x:v>1</x:v>
      </x:c>
      <x:c r="H19" s="5"/>
      <x:c r="I19" s="5"/>
      <x:c r="J19" s="5"/>
      <x:c r="K19" s="5"/>
      <x:c r="L19" s="28" t="n">
        <x:f>COUNTA(H19:K19)</x:f>
        <x:v>0</x:v>
      </x:c>
      <x:c r="M19" s="28" t="n">
        <x:v>2</x:v>
      </x:c>
      <x:c r="N19" s="28" t="n">
        <x:v>3</x:v>
      </x:c>
      <x:c r="O19" s="5" t="str">
        <x:v>按技能基础参数与所属阶级伤害上限；不追加旧技能效果。</x:v>
      </x:c>
      <x:c r="P19" s="5" t="str">
        <x:v>被动仅保留图鉴明确身份效果；相似旧主动不得与新技能重复结算。</x:v>
      </x:c>
      <x:c r="Q19" s="5" t="str">
        <x:v>设计提案／未实装</x:v>
      </x:c>
    </x:row>
    <x:row r="20" ht="58" customHeight="1">
      <x:c r="A20" s="6" t="str">
        <x:v>anomaly.sleepwalking_tailor</x:v>
      </x:c>
      <x:c r="B20" s="6" t="str">
        <x:v>梦游裁缝</x:v>
      </x:c>
      <x:c r="C20" s="6" t="str">
        <x:v>普通异象</x:v>
      </x:c>
      <x:c r="D20" s="27" t="n">
        <x:v>5</x:v>
      </x:c>
      <x:c r="E20" s="27" t="n">
        <x:v>11</x:v>
      </x:c>
      <x:c r="F20" s="27" t="n">
        <x:v>4</x:v>
      </x:c>
      <x:c r="G20" s="27" t="n">
        <x:v>3</x:v>
      </x:c>
      <x:c r="H20" s="6" t="str">
        <x:v>seam_bind</x:v>
      </x:c>
      <x:c r="I20" s="6"/>
      <x:c r="J20" s="6"/>
      <x:c r="K20" s="6"/>
      <x:c r="L20" s="27" t="n">
        <x:f>COUNTA(H20:K20)</x:f>
        <x:v>1</x:v>
      </x:c>
      <x:c r="M20" s="27" t="n">
        <x:v>2</x:v>
      </x:c>
      <x:c r="N20" s="27" t="n">
        <x:v>3</x:v>
      </x:c>
      <x:c r="O20" s="6" t="str">
        <x:v>按技能基础参数与所属阶级伤害上限；不追加旧技能效果。</x:v>
      </x:c>
      <x:c r="P20" s="6" t="str">
        <x:v>扒窃身份保留；缝影命中不追加扒窃，扒窃仍仅贴身。</x:v>
      </x:c>
      <x:c r="Q20" s="6" t="str">
        <x:v>设计提案／未实装</x:v>
      </x:c>
    </x:row>
    <x:row r="21" ht="58" customHeight="1">
      <x:c r="A21" s="5" t="str">
        <x:v>anomaly.human_coat_rack</x:v>
      </x:c>
      <x:c r="B21" s="5" t="str">
        <x:v>人形衣架</x:v>
      </x:c>
      <x:c r="C21" s="5" t="str">
        <x:v>普通异象</x:v>
      </x:c>
      <x:c r="D21" s="28" t="n">
        <x:v>2</x:v>
      </x:c>
      <x:c r="E21" s="28" t="n">
        <x:v>8</x:v>
      </x:c>
      <x:c r="F21" s="28" t="n">
        <x:v>3</x:v>
      </x:c>
      <x:c r="G21" s="28" t="n">
        <x:v>2</x:v>
      </x:c>
      <x:c r="H21" s="5"/>
      <x:c r="I21" s="5"/>
      <x:c r="J21" s="5"/>
      <x:c r="K21" s="5"/>
      <x:c r="L21" s="28" t="n">
        <x:f>COUNTA(H21:K21)</x:f>
        <x:v>0</x:v>
      </x:c>
      <x:c r="M21" s="28" t="n">
        <x:v>2</x:v>
      </x:c>
      <x:c r="N21" s="28" t="n">
        <x:v>3</x:v>
      </x:c>
      <x:c r="O21" s="5" t="str">
        <x:v>按技能基础参数与所属阶级伤害上限；不追加旧技能效果。</x:v>
      </x:c>
      <x:c r="P21" s="5" t="str">
        <x:v>被动仅保留图鉴明确身份效果；相似旧主动不得与新技能重复结算。</x:v>
      </x:c>
      <x:c r="Q21" s="5" t="str">
        <x:v>设计提案／未实装</x:v>
      </x:c>
    </x:row>
    <x:row r="22" ht="58" customHeight="1">
      <x:c r="A22" s="6" t="str">
        <x:v>anomaly.stair_echo</x:v>
      </x:c>
      <x:c r="B22" s="6" t="str">
        <x:v>楼梯回声</x:v>
      </x:c>
      <x:c r="C22" s="6" t="str">
        <x:v>普通异象</x:v>
      </x:c>
      <x:c r="D22" s="27" t="n">
        <x:v>3</x:v>
      </x:c>
      <x:c r="E22" s="27" t="n">
        <x:v>20</x:v>
      </x:c>
      <x:c r="F22" s="27" t="n">
        <x:v>5</x:v>
      </x:c>
      <x:c r="G22" s="27" t="n">
        <x:v>2</x:v>
      </x:c>
      <x:c r="H22" s="6"/>
      <x:c r="I22" s="6"/>
      <x:c r="J22" s="6"/>
      <x:c r="K22" s="6"/>
      <x:c r="L22" s="27" t="n">
        <x:f>COUNTA(H22:K22)</x:f>
        <x:v>0</x:v>
      </x:c>
      <x:c r="M22" s="27" t="n">
        <x:v>2</x:v>
      </x:c>
      <x:c r="N22" s="27" t="n">
        <x:v>3</x:v>
      </x:c>
      <x:c r="O22" s="6" t="str">
        <x:v>按技能基础参数与所属阶级伤害上限；不追加旧技能效果。</x:v>
      </x:c>
      <x:c r="P22" s="6" t="str">
        <x:v>被动仅保留图鉴明确身份效果；相似旧主动不得与新技能重复结算。</x:v>
      </x:c>
      <x:c r="Q22" s="6" t="str">
        <x:v>设计提案／未实装</x:v>
      </x:c>
    </x:row>
    <x:row r="23" ht="58" customHeight="1">
      <x:c r="A23" s="5" t="str">
        <x:v>anomaly.double_exposure</x:v>
      </x:c>
      <x:c r="B23" s="5" t="str">
        <x:v>强烈异象·双重曝光</x:v>
      </x:c>
      <x:c r="C23" s="5" t="str">
        <x:v>强烈异象</x:v>
      </x:c>
      <x:c r="D23" s="28" t="n">
        <x:v>8</x:v>
      </x:c>
      <x:c r="E23" s="28" t="n">
        <x:v>16</x:v>
      </x:c>
      <x:c r="F23" s="28" t="n">
        <x:v>9</x:v>
      </x:c>
      <x:c r="G23" s="28" t="n">
        <x:v>8</x:v>
      </x:c>
      <x:c r="H23" s="5" t="str">
        <x:v>split_echo</x:v>
      </x:c>
      <x:c r="I23" s="5" t="str">
        <x:v>light_trace</x:v>
      </x:c>
      <x:c r="J23" s="5"/>
      <x:c r="K23" s="5"/>
      <x:c r="L23" s="28" t="n">
        <x:f>COUNTA(H23:K23)</x:f>
        <x:v>2</x:v>
      </x:c>
      <x:c r="M23" s="28" t="n">
        <x:v>2</x:v>
      </x:c>
      <x:c r="N23" s="28" t="n">
        <x:v>3</x:v>
      </x:c>
      <x:c r="O23" s="5" t="str">
        <x:v>原被动分身与主动残影改为同一来源预算，不并行召唤。</x:v>
      </x:c>
      <x:c r="P23" s="5" t="str">
        <x:v>被动仅保留图鉴明确身份效果；相似旧主动不得与新技能重复结算。</x:v>
      </x:c>
      <x:c r="Q23" s="5" t="str">
        <x:v>设计提案／未实装</x:v>
      </x:c>
    </x:row>
    <x:row r="24" ht="58" customHeight="1">
      <x:c r="A24" s="6" t="str">
        <x:v>anomaly.wet_choir</x:v>
      </x:c>
      <x:c r="B24" s="6" t="str">
        <x:v>强烈异象·湿透的合唱团</x:v>
      </x:c>
      <x:c r="C24" s="6" t="str">
        <x:v>强烈异象</x:v>
      </x:c>
      <x:c r="D24" s="27" t="n">
        <x:v>9</x:v>
      </x:c>
      <x:c r="E24" s="27" t="n">
        <x:v>17</x:v>
      </x:c>
      <x:c r="F24" s="27" t="n">
        <x:v>8</x:v>
      </x:c>
      <x:c r="G24" s="27" t="n">
        <x:v>7</x:v>
      </x:c>
      <x:c r="H24" s="6" t="str">
        <x:v>choir_guard</x:v>
      </x:c>
      <x:c r="I24" s="6" t="str">
        <x:v>electric_stitch</x:v>
      </x:c>
      <x:c r="J24" s="6"/>
      <x:c r="K24" s="6"/>
      <x:c r="L24" s="27" t="n">
        <x:f>COUNTA(H24:K24)</x:f>
        <x:v>2</x:v>
      </x:c>
      <x:c r="M24" s="27" t="n">
        <x:v>2</x:v>
      </x:c>
      <x:c r="N24" s="27" t="n">
        <x:v>3</x:v>
      </x:c>
      <x:c r="O24" s="6" t="str">
        <x:v>按技能基础参数与所属阶级伤害上限；不追加旧技能效果。</x:v>
      </x:c>
      <x:c r="P24" s="6" t="str">
        <x:v>被动仅保留图鉴明确身份效果；相似旧主动不得与新技能重复结算。</x:v>
      </x:c>
      <x:c r="Q24" s="6" t="str">
        <x:v>设计提案／未实装</x:v>
      </x:c>
    </x:row>
    <x:row r="25" ht="58" customHeight="1">
      <x:c r="A25" s="5" t="str">
        <x:v>anomaly.moving_staircase</x:v>
      </x:c>
      <x:c r="B25" s="5" t="str">
        <x:v>强烈异象·迁徙的楼梯</x:v>
      </x:c>
      <x:c r="C25" s="5" t="str">
        <x:v>强烈异象</x:v>
      </x:c>
      <x:c r="D25" s="28" t="n">
        <x:v>12</x:v>
      </x:c>
      <x:c r="E25" s="28" t="n">
        <x:v>22</x:v>
      </x:c>
      <x:c r="F25" s="28" t="n">
        <x:v>11</x:v>
      </x:c>
      <x:c r="G25" s="28" t="n">
        <x:v>9</x:v>
      </x:c>
      <x:c r="H25" s="5" t="str">
        <x:v>stair_fracture</x:v>
      </x:c>
      <x:c r="I25" s="5" t="str">
        <x:v>cool_drain</x:v>
      </x:c>
      <x:c r="J25" s="5"/>
      <x:c r="K25" s="5"/>
      <x:c r="L25" s="28" t="n">
        <x:f>COUNTA(H25:K25)</x:f>
        <x:v>2</x:v>
      </x:c>
      <x:c r="M25" s="28" t="n">
        <x:v>2</x:v>
      </x:c>
      <x:c r="N25" s="28" t="n">
        <x:v>3</x:v>
      </x:c>
      <x:c r="O25" s="5" t="str">
        <x:v>按技能基础参数与所属阶级伤害上限；不追加旧技能效果。</x:v>
      </x:c>
      <x:c r="P25" s="5" t="str">
        <x:v>墙体改造统一保护规则；删除无预警wall_break。</x:v>
      </x:c>
      <x:c r="Q25" s="5" t="str">
        <x:v>设计提案／未实装</x:v>
      </x:c>
    </x:row>
    <x:row r="26" ht="58" customHeight="1">
      <x:c r="A26" s="6" t="str">
        <x:v>anomaly.hollow_lighthouse</x:v>
      </x:c>
      <x:c r="B26" s="6" t="str">
        <x:v>核心执念·空心的灯塔</x:v>
      </x:c>
      <x:c r="C26" s="6" t="str">
        <x:v>核心执念</x:v>
      </x:c>
      <x:c r="D26" s="27" t="n">
        <x:v>10</x:v>
      </x:c>
      <x:c r="E26" s="27" t="n">
        <x:v>10</x:v>
      </x:c>
      <x:c r="F26" s="27" t="n">
        <x:v>25</x:v>
      </x:c>
      <x:c r="G26" s="27" t="n">
        <x:v>4</x:v>
      </x:c>
      <x:c r="H26" s="6" t="str">
        <x:v>core_beacon</x:v>
      </x:c>
      <x:c r="I26" s="6" t="str">
        <x:v>core_summon</x:v>
      </x:c>
      <x:c r="J26" s="6" t="str">
        <x:v>choir_guard</x:v>
      </x:c>
      <x:c r="K26" s="6" t="str">
        <x:v>cool_drain</x:v>
      </x:c>
      <x:c r="L26" s="27" t="n">
        <x:f>COUNTA(H26:K26)</x:f>
        <x:v>4</x:v>
      </x:c>
      <x:c r="M26" s="27" t="n">
        <x:v>3</x:v>
      </x:c>
      <x:c r="N26" s="27" t="n">
        <x:v>4</x:v>
      </x:c>
      <x:c r="O26" s="6" t="str">
        <x:v>choir_guard/cool_drain按各自基础参数；召唤专属光影，不召正式纸页犬。</x:v>
      </x:c>
      <x:c r="P26" s="6" t="str">
        <x:v>核心执念旧_core_actives整体迁移并停用。</x:v>
      </x:c>
      <x:c r="Q26" s="6" t="str">
        <x:v>设计提案／未实装</x:v>
      </x:c>
    </x:row>
    <x:row r="27" ht="58" customHeight="1">
      <x:c r="A27" s="5" t="str">
        <x:v>anomaly.sunken_bell</x:v>
      </x:c>
      <x:c r="B27" s="5" t="str">
        <x:v>无意识沉钟</x:v>
      </x:c>
      <x:c r="C27" s="5" t="str">
        <x:v>普通异象</x:v>
      </x:c>
      <x:c r="D27" s="28" t="n">
        <x:v>16</x:v>
      </x:c>
      <x:c r="E27" s="28" t="n">
        <x:v>23</x:v>
      </x:c>
      <x:c r="F27" s="28" t="n">
        <x:v>7</x:v>
      </x:c>
      <x:c r="G27" s="28" t="n">
        <x:v>6</x:v>
      </x:c>
      <x:c r="H27" s="5" t="str">
        <x:v>clock_drag</x:v>
      </x:c>
      <x:c r="I27" s="5" t="str">
        <x:v>core_cry</x:v>
      </x:c>
      <x:c r="J27" s="5"/>
      <x:c r="K27" s="5"/>
      <x:c r="L27" s="28" t="n">
        <x:f>COUNTA(H27:K27)</x:f>
        <x:v>2</x:v>
      </x:c>
      <x:c r="M27" s="28" t="n">
        <x:v>2</x:v>
      </x:c>
      <x:c r="N27" s="28" t="n">
        <x:v>3</x:v>
      </x:c>
      <x:c r="O27" s="5" t="str">
        <x:v>core_cry覆写：半径1、5格、基础2、无告知同伴；clock_drag不与声浪同轮施放。</x:v>
      </x:c>
      <x:c r="P27" s="5" t="str">
        <x:v>删除旧aoe_burst与clock_pulse调度，合并独立状态。</x:v>
      </x:c>
      <x:c r="Q27" s="5" t="str">
        <x:v>设计提案／未实装</x:v>
      </x:c>
    </x:row>
    <x:row r="28" ht="58" customHeight="1">
      <x:c r="A28" s="6" t="str">
        <x:v>anomaly.silent_mirror</x:v>
      </x:c>
      <x:c r="B28" s="6" t="str">
        <x:v>缄默映像</x:v>
      </x:c>
      <x:c r="C28" s="6" t="str">
        <x:v>普通异象</x:v>
      </x:c>
      <x:c r="D28" s="27" t="n">
        <x:v>17</x:v>
      </x:c>
      <x:c r="E28" s="27" t="n">
        <x:v>24</x:v>
      </x:c>
      <x:c r="F28" s="27" t="n">
        <x:v>7</x:v>
      </x:c>
      <x:c r="G28" s="27" t="n">
        <x:v>6</x:v>
      </x:c>
      <x:c r="H28" s="6" t="str">
        <x:v>mirror_swap</x:v>
      </x:c>
      <x:c r="I28" s="6" t="str">
        <x:v>light_trace</x:v>
      </x:c>
      <x:c r="J28" s="6"/>
      <x:c r="K28" s="6"/>
      <x:c r="L28" s="27" t="n">
        <x:f>COUNTA(H28:K28)</x:f>
        <x:v>2</x:v>
      </x:c>
      <x:c r="M28" s="27" t="n">
        <x:v>2</x:v>
      </x:c>
      <x:c r="N28" s="27" t="n">
        <x:v>3</x:v>
      </x:c>
      <x:c r="O28" s="6" t="str">
        <x:v>按技能基础参数与所属阶级伤害上限；不追加旧技能效果。</x:v>
      </x:c>
      <x:c r="P28" s="6" t="str">
        <x:v>被动仅保留图鉴明确身份效果；相似旧主动不得与新技能重复结算。</x:v>
      </x:c>
      <x:c r="Q28" s="6" t="str">
        <x:v>设计提案／未实装</x:v>
      </x:c>
    </x:row>
    <x:row r="29" ht="58" customHeight="1">
      <x:c r="A29" s="5" t="str">
        <x:v>anomaly.thought_worm</x:v>
      </x:c>
      <x:c r="B29" s="5" t="str">
        <x:v>噬念蠕虫</x:v>
      </x:c>
      <x:c r="C29" s="5" t="str">
        <x:v>普通异象</x:v>
      </x:c>
      <x:c r="D29" s="28" t="n">
        <x:v>19</x:v>
      </x:c>
      <x:c r="E29" s="28" t="n">
        <x:v>26</x:v>
      </x:c>
      <x:c r="F29" s="28" t="n">
        <x:v>9</x:v>
      </x:c>
      <x:c r="G29" s="28" t="n">
        <x:v>8</x:v>
      </x:c>
      <x:c r="H29" s="5" t="str">
        <x:v>mind_bite</x:v>
      </x:c>
      <x:c r="I29" s="5"/>
      <x:c r="J29" s="5"/>
      <x:c r="K29" s="5"/>
      <x:c r="L29" s="28" t="n">
        <x:f>COUNTA(H29:K29)</x:f>
        <x:v>1</x:v>
      </x:c>
      <x:c r="M29" s="28" t="n">
        <x:v>2</x:v>
      </x:c>
      <x:c r="N29" s="28" t="n">
        <x:v>3</x:v>
      </x:c>
      <x:c r="O29" s="5" t="str">
        <x:v>按技能基础参数与所属阶级伤害上限；不追加旧技能效果。</x:v>
      </x:c>
      <x:c r="P29" s="5" t="str">
        <x:v>被动仅保留图鉴明确身份效果；相似旧主动不得与新技能重复结算。</x:v>
      </x:c>
      <x:c r="Q29" s="5" t="str">
        <x:v>设计提案／未实装</x:v>
      </x:c>
    </x:row>
    <x:row r="30" ht="58" customHeight="1">
      <x:c r="A30" s="6" t="str">
        <x:v>anomaly.faceless_watchman</x:v>
      </x:c>
      <x:c r="B30" s="6" t="str">
        <x:v>无面守夜人</x:v>
      </x:c>
      <x:c r="C30" s="6" t="str">
        <x:v>普通异象</x:v>
      </x:c>
      <x:c r="D30" s="27" t="n">
        <x:v>19</x:v>
      </x:c>
      <x:c r="E30" s="27" t="n">
        <x:v>26</x:v>
      </x:c>
      <x:c r="F30" s="27" t="n">
        <x:v>9</x:v>
      </x:c>
      <x:c r="G30" s="27" t="n">
        <x:v>8</x:v>
      </x:c>
      <x:c r="H30" s="6" t="str">
        <x:v>shadow_step</x:v>
      </x:c>
      <x:c r="I30" s="6" t="str">
        <x:v>paper_dart</x:v>
      </x:c>
      <x:c r="J30" s="6"/>
      <x:c r="K30" s="6"/>
      <x:c r="L30" s="27" t="n">
        <x:f>COUNTA(H30:K30)</x:f>
        <x:v>2</x:v>
      </x:c>
      <x:c r="M30" s="27" t="n">
        <x:v>2</x:v>
      </x:c>
      <x:c r="N30" s="27" t="n">
        <x:v>3</x:v>
      </x:c>
      <x:c r="O30" s="6" t="str">
        <x:v>按技能基础参数与所属阶级伤害上限；不追加旧技能效果。</x:v>
      </x:c>
      <x:c r="P30" s="6" t="str">
        <x:v>被动仅保留图鉴明确身份效果；相似旧主动不得与新技能重复结算。</x:v>
      </x:c>
      <x:c r="Q30" s="6" t="str">
        <x:v>设计提案／未实装</x:v>
      </x:c>
    </x:row>
    <x:row r="31" ht="58" customHeight="1">
      <x:c r="A31" s="5" t="str">
        <x:v>anomaly.nightmare_weaver</x:v>
      </x:c>
      <x:c r="B31" s="5" t="str">
        <x:v>强烈异象·噩梦编织者</x:v>
      </x:c>
      <x:c r="C31" s="5" t="str">
        <x:v>强烈异象</x:v>
      </x:c>
      <x:c r="D31" s="28" t="n">
        <x:v>21</x:v>
      </x:c>
      <x:c r="E31" s="28" t="n">
        <x:v>26</x:v>
      </x:c>
      <x:c r="F31" s="28" t="n">
        <x:v>12</x:v>
      </x:c>
      <x:c r="G31" s="28" t="n">
        <x:v>10</x:v>
      </x:c>
      <x:c r="H31" s="5" t="str">
        <x:v>nightmare_patch</x:v>
      </x:c>
      <x:c r="I31" s="5" t="str">
        <x:v>wake_allies</x:v>
      </x:c>
      <x:c r="J31" s="5" t="str">
        <x:v>seam_bind</x:v>
      </x:c>
      <x:c r="K31" s="5"/>
      <x:c r="L31" s="28" t="n">
        <x:f>COUNTA(H31:K31)</x:f>
        <x:v>3</x:v>
      </x:c>
      <x:c r="M31" s="28" t="n">
        <x:v>2</x:v>
      </x:c>
      <x:c r="N31" s="28" t="n">
        <x:v>3</x:v>
      </x:c>
      <x:c r="O31" s="5" t="str">
        <x:v>按技能基础参数与所属阶级伤害上限；不追加旧技能效果。</x:v>
      </x:c>
      <x:c r="P31" s="5" t="str">
        <x:v>被动仅保留图鉴明确身份效果；相似旧主动不得与新技能重复结算。</x:v>
      </x:c>
      <x:c r="Q31" s="5" t="str">
        <x:v>设计提案／未实装</x:v>
      </x:c>
    </x:row>
    <x:row r="32" ht="58" customHeight="1">
      <x:c r="A32" s="6" t="str">
        <x:v>anomaly.forgetter</x:v>
      </x:c>
      <x:c r="B32" s="6" t="str">
        <x:v>强烈异象·遗忘织者</x:v>
      </x:c>
      <x:c r="C32" s="6" t="str">
        <x:v>强烈异象</x:v>
      </x:c>
      <x:c r="D32" s="27" t="n">
        <x:v>21</x:v>
      </x:c>
      <x:c r="E32" s="27" t="n">
        <x:v>26</x:v>
      </x:c>
      <x:c r="F32" s="27" t="n">
        <x:v>12</x:v>
      </x:c>
      <x:c r="G32" s="27" t="n">
        <x:v>10</x:v>
      </x:c>
      <x:c r="H32" s="6" t="str">
        <x:v>oblivion_mark</x:v>
      </x:c>
      <x:c r="I32" s="6" t="str">
        <x:v>redact_buff</x:v>
      </x:c>
      <x:c r="J32" s="6"/>
      <x:c r="K32" s="6"/>
      <x:c r="L32" s="27" t="n">
        <x:f>COUNTA(H32:K32)</x:f>
        <x:v>2</x:v>
      </x:c>
      <x:c r="M32" s="27" t="n">
        <x:v>2</x:v>
      </x:c>
      <x:c r="N32" s="27" t="n">
        <x:v>3</x:v>
      </x:c>
      <x:c r="O32" s="6" t="str">
        <x:v>按技能基础参数与所属阶级伤害上限；不追加旧技能效果。</x:v>
      </x:c>
      <x:c r="P32" s="6" t="str">
        <x:v>替换forget_touch命中随机驱散。</x:v>
      </x:c>
      <x:c r="Q32" s="6" t="str">
        <x:v>设计提案／未实装</x:v>
      </x:c>
    </x:row>
    <x:row r="33" ht="58" customHeight="1">
      <x:c r="A33" s="5" t="str">
        <x:v>anomaly.blank_rift</x:v>
      </x:c>
      <x:c r="B33" s="5" t="str">
        <x:v>强烈异象·空白裂隙</x:v>
      </x:c>
      <x:c r="C33" s="5" t="str">
        <x:v>强烈异象</x:v>
      </x:c>
      <x:c r="D33" s="28" t="n">
        <x:v>23</x:v>
      </x:c>
      <x:c r="E33" s="28" t="n">
        <x:v>27</x:v>
      </x:c>
      <x:c r="F33" s="28" t="n">
        <x:v>14</x:v>
      </x:c>
      <x:c r="G33" s="28" t="n">
        <x:v>11</x:v>
      </x:c>
      <x:c r="H33" s="5" t="str">
        <x:v>stair_fracture</x:v>
      </x:c>
      <x:c r="I33" s="5" t="str">
        <x:v>null_ray</x:v>
      </x:c>
      <x:c r="J33" s="5" t="str">
        <x:v>cool_drain</x:v>
      </x:c>
      <x:c r="K33" s="5"/>
      <x:c r="L33" s="28" t="n">
        <x:f>COUNTA(H33:K33)</x:f>
        <x:v>3</x:v>
      </x:c>
      <x:c r="M33" s="28" t="n">
        <x:v>2</x:v>
      </x:c>
      <x:c r="N33" s="28" t="n">
        <x:v>3</x:v>
      </x:c>
      <x:c r="O33" s="5" t="str">
        <x:v>按技能基础参数与所属阶级伤害上限；不追加旧技能效果。</x:v>
      </x:c>
      <x:c r="P33" s="5" t="str">
        <x:v>删除周期erode_walls及相邻偷时；迁入有限主动。</x:v>
      </x:c>
      <x:c r="Q33" s="5" t="str">
        <x:v>设计提案／未实装</x:v>
      </x:c>
    </x:row>
    <x:row r="34" ht="58" customHeight="1">
      <x:c r="A34" s="6" t="str">
        <x:v>anomaly.primordial_impulse</x:v>
      </x:c>
      <x:c r="B34" s="6" t="str">
        <x:v>强烈异象·原初冲动</x:v>
      </x:c>
      <x:c r="C34" s="6" t="str">
        <x:v>强烈异象</x:v>
      </x:c>
      <x:c r="D34" s="27" t="n">
        <x:v>24</x:v>
      </x:c>
      <x:c r="E34" s="27" t="n">
        <x:v>27</x:v>
      </x:c>
      <x:c r="F34" s="27" t="n">
        <x:v>16</x:v>
      </x:c>
      <x:c r="G34" s="27" t="n">
        <x:v>13</x:v>
      </x:c>
      <x:c r="H34" s="6" t="str">
        <x:v>return_charge</x:v>
      </x:c>
      <x:c r="I34" s="6" t="str">
        <x:v>model_push</x:v>
      </x:c>
      <x:c r="J34" s="6"/>
      <x:c r="K34" s="6"/>
      <x:c r="L34" s="27" t="n">
        <x:f>COUNTA(H34:K34)</x:f>
        <x:v>2</x:v>
      </x:c>
      <x:c r="M34" s="27" t="n">
        <x:v>2</x:v>
      </x:c>
      <x:c r="N34" s="27" t="n">
        <x:v>3</x:v>
      </x:c>
      <x:c r="O34" s="6" t="str">
        <x:v>分节共用本体技能状态与冷却；子节不可独立施法，不翻倍伤害。</x:v>
      </x:c>
      <x:c r="P34" s="6" t="str">
        <x:v>被动仅保留图鉴明确身份效果；相似旧主动不得与新技能重复结算。</x:v>
      </x:c>
      <x:c r="Q34" s="6" t="str">
        <x:v>设计提案／未实装</x:v>
      </x:c>
    </x:row>
    <x:row r="35" ht="58" customHeight="1">
      <x:c r="A35" s="5" t="str">
        <x:v>anomaly.first_cry</x:v>
      </x:c>
      <x:c r="B35" s="5" t="str">
        <x:v>核心执念·初啼之核</x:v>
      </x:c>
      <x:c r="C35" s="5" t="str">
        <x:v>核心执念</x:v>
      </x:c>
      <x:c r="D35" s="28" t="n">
        <x:v>27</x:v>
      </x:c>
      <x:c r="E35" s="28" t="n">
        <x:v>27</x:v>
      </x:c>
      <x:c r="F35" s="28" t="n">
        <x:v>64</x:v>
      </x:c>
      <x:c r="G35" s="28" t="n">
        <x:v>7</x:v>
      </x:c>
      <x:c r="H35" s="5" t="str">
        <x:v>core_cry</x:v>
      </x:c>
      <x:c r="I35" s="5" t="str">
        <x:v>core_chill</x:v>
      </x:c>
      <x:c r="J35" s="5" t="str">
        <x:v>core_summon</x:v>
      </x:c>
      <x:c r="K35" s="5" t="str">
        <x:v>core_pause</x:v>
      </x:c>
      <x:c r="L35" s="28" t="n">
        <x:f>COUNTA(H35:K35)</x:f>
        <x:v>4</x:v>
      </x:c>
      <x:c r="M35" s="28" t="n">
        <x:v>3</x:v>
      </x:c>
      <x:c r="N35" s="28" t="n">
        <x:v>4</x:v>
      </x:c>
      <x:c r="O35" s="5" t="str">
        <x:v>阶段1：core_cry/core_chill；阶段2增加core_summon；阶段3增加core_pause，仍共享间隔。</x:v>
      </x:c>
      <x:c r="P35" s="5" t="str">
        <x:v>核心执念旧_core_actives整体迁移并停用。</x:v>
      </x:c>
      <x:c r="Q35" s="5" t="str">
        <x:v>设计提案／未实装</x:v>
      </x:c>
    </x:row>
    <x:row r="36" ht="58" customHeight="1">
      <x:c r="A36" s="6" t="str">
        <x:v>anomaly.scribe</x:v>
      </x:c>
      <x:c r="B36" s="6" t="str">
        <x:v>核心执念·执笔者</x:v>
      </x:c>
      <x:c r="C36" s="6" t="str">
        <x:v>核心执念</x:v>
      </x:c>
      <x:c r="D36" s="27" t="n">
        <x:v>30</x:v>
      </x:c>
      <x:c r="E36" s="27" t="n">
        <x:v>30</x:v>
      </x:c>
      <x:c r="F36" s="27" t="n">
        <x:v>80</x:v>
      </x:c>
      <x:c r="G36" s="27" t="n">
        <x:v>4</x:v>
      </x:c>
      <x:c r="H36" s="6" t="str">
        <x:v>scribe_stroke</x:v>
      </x:c>
      <x:c r="I36" s="6" t="str">
        <x:v>scribe_draft</x:v>
      </x:c>
      <x:c r="J36" s="6" t="str">
        <x:v>scribe_erase</x:v>
      </x:c>
      <x:c r="K36" s="6" t="str">
        <x:v>scribe_revision</x:v>
      </x:c>
      <x:c r="L36" s="27" t="n">
        <x:f>COUNTA(H36:K36)</x:f>
        <x:v>4</x:v>
      </x:c>
      <x:c r="M36" s="27" t="n">
        <x:v>3</x:v>
      </x:c>
      <x:c r="N36" s="27" t="n">
        <x:v>4</x:v>
      </x:c>
      <x:c r="O36" s="6" t="str">
        <x:v>阶段1：stroke/erase；阶段2增加draft；revision每阶段一次；替换旧scribe_warning调度。</x:v>
      </x:c>
      <x:c r="P36" s="6" t="str">
        <x:v>核心执念旧_core_actives整体迁移并停用。</x:v>
      </x:c>
      <x:c r="Q36" s="6" t="str">
        <x:v>设计提案／未实装</x:v>
      </x:c>
    </x:row>
    <x:row r="37" ht="58" customHeight="1">
      <x:c r="A37" s="5" t="str">
        <x:v>anomaly.dream_accountant</x:v>
      </x:c>
      <x:c r="B37" s="5" t="str">
        <x:v>梦的账房</x:v>
      </x:c>
      <x:c r="C37" s="5" t="str">
        <x:v>普通异象</x:v>
      </x:c>
      <x:c r="D37" s="28" t="n">
        <x:v>28</x:v>
      </x:c>
      <x:c r="E37" s="28" t="n">
        <x:v>30</x:v>
      </x:c>
      <x:c r="F37" s="28" t="n">
        <x:v>12</x:v>
      </x:c>
      <x:c r="G37" s="28" t="n">
        <x:v>6</x:v>
      </x:c>
      <x:c r="H37" s="5" t="str">
        <x:v>oblivion_mark</x:v>
      </x:c>
      <x:c r="I37" s="5"/>
      <x:c r="J37" s="5"/>
      <x:c r="K37" s="5"/>
      <x:c r="L37" s="28" t="n">
        <x:f>COUNTA(H37:K37)</x:f>
        <x:v>1</x:v>
      </x:c>
      <x:c r="M37" s="28" t="n">
        <x:v>2</x:v>
      </x:c>
      <x:c r="N37" s="28" t="n">
        <x:v>3</x:v>
      </x:c>
      <x:c r="O37" s="5" t="str">
        <x:v>oblivion_mark覆写：无即时心智伤；仅想象−1×2；替换原警戒全局偷时。</x:v>
      </x:c>
      <x:c r="P37" s="5" t="str">
        <x:v>被动仅保留图鉴明确身份效果；相似旧主动不得与新技能重复结算。</x:v>
      </x:c>
      <x:c r="Q37" s="5" t="str">
        <x:v>设计提案／未实装</x:v>
      </x:c>
    </x:row>
    <x:row r="38" ht="58" customHeight="1">
      <x:c r="A38" s="6" t="str">
        <x:v>anomaly.ink_archivist</x:v>
      </x:c>
      <x:c r="B38" s="6" t="str">
        <x:v>墨档员</x:v>
      </x:c>
      <x:c r="C38" s="6" t="str">
        <x:v>普通异象</x:v>
      </x:c>
      <x:c r="D38" s="27" t="n">
        <x:v>28</x:v>
      </x:c>
      <x:c r="E38" s="27" t="n">
        <x:v>30</x:v>
      </x:c>
      <x:c r="F38" s="27" t="n">
        <x:v>13</x:v>
      </x:c>
      <x:c r="G38" s="27" t="n">
        <x:v>7</x:v>
      </x:c>
      <x:c r="H38" s="6" t="str">
        <x:v>ink_pool</x:v>
      </x:c>
      <x:c r="I38" s="6" t="str">
        <x:v>light_trace</x:v>
      </x:c>
      <x:c r="J38" s="6"/>
      <x:c r="K38" s="6"/>
      <x:c r="L38" s="27" t="n">
        <x:f>COUNTA(H38:K38)</x:f>
        <x:v>2</x:v>
      </x:c>
      <x:c r="M38" s="27" t="n">
        <x:v>2</x:v>
      </x:c>
      <x:c r="N38" s="27" t="n">
        <x:v>3</x:v>
      </x:c>
      <x:c r="O38" s="6" t="str">
        <x:v>按技能基础参数与所属阶级伤害上限；不追加旧技能效果。</x:v>
      </x:c>
      <x:c r="P38" s="6" t="str">
        <x:v>被动仅保留图鉴明确身份效果；相似旧主动不得与新技能重复结算。</x:v>
      </x:c>
      <x:c r="Q38" s="6" t="str">
        <x:v>设计提案／未实装</x:v>
      </x:c>
    </x:row>
    <x:row r="39" ht="58" customHeight="1">
      <x:c r="A39" s="5" t="str">
        <x:v>anomaly.whole_choir</x:v>
      </x:c>
      <x:c r="B39" s="5" t="str">
        <x:v>全声合唱</x:v>
      </x:c>
      <x:c r="C39" s="5" t="str">
        <x:v>强烈异象</x:v>
      </x:c>
      <x:c r="D39" s="28" t="n">
        <x:v>28</x:v>
      </x:c>
      <x:c r="E39" s="28" t="n">
        <x:v>30</x:v>
      </x:c>
      <x:c r="F39" s="28" t="n">
        <x:v>16</x:v>
      </x:c>
      <x:c r="G39" s="28" t="n">
        <x:v>9</x:v>
      </x:c>
      <x:c r="H39" s="5" t="str">
        <x:v>choir_guard</x:v>
      </x:c>
      <x:c r="I39" s="5" t="str">
        <x:v>edit_heal</x:v>
      </x:c>
      <x:c r="J39" s="5" t="str">
        <x:v>core_cry</x:v>
      </x:c>
      <x:c r="K39" s="5"/>
      <x:c r="L39" s="28" t="n">
        <x:f>COUNTA(H39:K39)</x:f>
        <x:v>3</x:v>
      </x:c>
      <x:c r="M39" s="28" t="n">
        <x:v>2</x:v>
      </x:c>
      <x:c r="N39" s="28" t="n">
        <x:v>3</x:v>
      </x:c>
      <x:c r="O39" s="5" t="str">
        <x:v>core_cry覆写：半径1、5格、基础2、无告知同伴。</x:v>
      </x:c>
      <x:c r="P39" s="5" t="str">
        <x:v>被动仅保留图鉴明确身份效果；相似旧主动不得与新技能重复结算。</x:v>
      </x:c>
      <x:c r="Q39" s="5" t="str">
        <x:v>设计提案／未实装</x:v>
      </x:c>
    </x:row>
    <x:row r="40" ht="58" customHeight="1">
      <x:c r="A40" s="6" t="str">
        <x:v>anomaly.null_witness</x:v>
      </x:c>
      <x:c r="B40" s="6" t="str">
        <x:v>虚无见证</x:v>
      </x:c>
      <x:c r="C40" s="6" t="str">
        <x:v>强烈异象</x:v>
      </x:c>
      <x:c r="D40" s="27" t="n">
        <x:v>28</x:v>
      </x:c>
      <x:c r="E40" s="27" t="n">
        <x:v>30</x:v>
      </x:c>
      <x:c r="F40" s="27" t="n">
        <x:v>18</x:v>
      </x:c>
      <x:c r="G40" s="27" t="n">
        <x:v>10</x:v>
      </x:c>
      <x:c r="H40" s="6" t="str">
        <x:v>null_ray</x:v>
      </x:c>
      <x:c r="I40" s="6" t="str">
        <x:v>shadow_step</x:v>
      </x:c>
      <x:c r="J40" s="6" t="str">
        <x:v>electric_stitch</x:v>
      </x:c>
      <x:c r="K40" s="6"/>
      <x:c r="L40" s="27" t="n">
        <x:f>COUNTA(H40:K40)</x:f>
        <x:v>3</x:v>
      </x:c>
      <x:c r="M40" s="27" t="n">
        <x:v>2</x:v>
      </x:c>
      <x:c r="N40" s="27" t="n">
        <x:v>3</x:v>
      </x:c>
      <x:c r="O40" s="6" t="str">
        <x:v>按技能基础参数与所属阶级伤害上限；不追加旧技能效果。</x:v>
      </x:c>
      <x:c r="P40" s="6" t="str">
        <x:v>被动仅保留图鉴明确身份效果；相似旧主动不得与新技能重复结算。</x:v>
      </x:c>
      <x:c r="Q40" s="6" t="str">
        <x:v>设计提案／未实装</x:v>
      </x:c>
    </x:row>
    <x:row r="41" ht="58" customHeight="1">
      <x:c r="A41" s="5" t="str">
        <x:v>anomaly.door_warden</x:v>
      </x:c>
      <x:c r="B41" s="5" t="str">
        <x:v>门扉守卫</x:v>
      </x:c>
      <x:c r="C41" s="5" t="str">
        <x:v>强烈异象</x:v>
      </x:c>
      <x:c r="D41" s="28" t="n">
        <x:v>1</x:v>
      </x:c>
      <x:c r="E41" s="28" t="n">
        <x:v>3</x:v>
      </x:c>
      <x:c r="F41" s="28" t="n">
        <x:v>14</x:v>
      </x:c>
      <x:c r="G41" s="28" t="n">
        <x:v>7</x:v>
      </x:c>
      <x:c r="H41" s="5" t="str">
        <x:v>fold_guard</x:v>
      </x:c>
      <x:c r="I41" s="5" t="str">
        <x:v>model_push</x:v>
      </x:c>
      <x:c r="J41" s="5"/>
      <x:c r="K41" s="5"/>
      <x:c r="L41" s="28" t="n">
        <x:f>COUNTA(H41:K41)</x:f>
        <x:v>2</x:v>
      </x:c>
      <x:c r="M41" s="28" t="n">
        <x:v>2</x:v>
      </x:c>
      <x:c r="N41" s="28" t="n">
        <x:v>3</x:v>
      </x:c>
      <x:c r="O41" s="5" t="str">
        <x:v>教学覆写：model_push基础0；推向安全空格；fold_guard只减1、最多一次。</x:v>
      </x:c>
      <x:c r="P41" s="5" t="str">
        <x:v>被动仅保留图鉴明确身份效果；相似旧主动不得与新技能重复结算。</x:v>
      </x:c>
      <x:c r="Q41" s="5" t="str">
        <x:v>设计提案／未实装</x:v>
      </x:c>
    </x:row>
    <x:row r="42" ht="58" customHeight="1">
      <x:c r="A42" s="6" t="str">
        <x:v>anomaly.door_mimic</x:v>
      </x:c>
      <x:c r="B42" s="6" t="str">
        <x:v>拟门</x:v>
      </x:c>
      <x:c r="C42" s="6" t="str">
        <x:v>普通异象</x:v>
      </x:c>
      <x:c r="D42" s="27" t="n">
        <x:v>1</x:v>
      </x:c>
      <x:c r="E42" s="27" t="n">
        <x:v>3</x:v>
      </x:c>
      <x:c r="F42" s="27" t="n">
        <x:v>6</x:v>
      </x:c>
      <x:c r="G42" s="27" t="n">
        <x:v>5</x:v>
      </x:c>
      <x:c r="H42" s="6"/>
      <x:c r="I42" s="6"/>
      <x:c r="J42" s="6"/>
      <x:c r="K42" s="6"/>
      <x:c r="L42" s="27" t="n">
        <x:f>COUNTA(H42:K42)</x:f>
        <x:v>0</x:v>
      </x:c>
      <x:c r="M42" s="27" t="n">
        <x:v>2</x:v>
      </x:c>
      <x:c r="N42" s="27" t="n">
        <x:v>3</x:v>
      </x:c>
      <x:c r="O42" s="6" t="str">
        <x:v>按技能基础参数与所属阶级伤害上限；不追加旧技能效果。</x:v>
      </x:c>
      <x:c r="P42" s="6" t="str">
        <x:v>被动仅保留图鉴明确身份效果；相似旧主动不得与新技能重复结算。</x:v>
      </x:c>
      <x:c r="Q42" s="6" t="str">
        <x:v>设计提案／未实装</x:v>
      </x:c>
    </x:row>
    <x:row r="43" ht="58" customHeight="1">
      <x:c r="A43" s="5" t="str">
        <x:v>anomaly.ticket_inspector</x:v>
      </x:c>
      <x:c r="B43" s="5" t="str">
        <x:v>查票员</x:v>
      </x:c>
      <x:c r="C43" s="5" t="str">
        <x:v>普通异象</x:v>
      </x:c>
      <x:c r="D43" s="28" t="n">
        <x:v>2</x:v>
      </x:c>
      <x:c r="E43" s="28" t="n">
        <x:v>7</x:v>
      </x:c>
      <x:c r="F43" s="28" t="n">
        <x:v>3</x:v>
      </x:c>
      <x:c r="G43" s="28" t="n">
        <x:v>2</x:v>
      </x:c>
      <x:c r="H43" s="5" t="str">
        <x:v>seam_bind</x:v>
      </x:c>
      <x:c r="I43" s="5"/>
      <x:c r="J43" s="5"/>
      <x:c r="K43" s="5"/>
      <x:c r="L43" s="28" t="n">
        <x:f>COUNTA(H43:K43)</x:f>
        <x:v>1</x:v>
      </x:c>
      <x:c r="M43" s="28" t="n">
        <x:v>2</x:v>
      </x:c>
      <x:c r="N43" s="28" t="n">
        <x:v>3</x:v>
      </x:c>
      <x:c r="O43" s="5" t="str">
        <x:v>按技能基础参数与所属阶级伤害上限；不追加旧技能效果。</x:v>
      </x:c>
      <x:c r="P43" s="5" t="str">
        <x:v>被动仅保留图鉴明确身份效果；相似旧主动不得与新技能重复结算。</x:v>
      </x:c>
      <x:c r="Q43" s="5" t="str">
        <x:v>设计提案／未实装</x:v>
      </x:c>
    </x:row>
    <x:row r="44" ht="58" customHeight="1">
      <x:c r="A44" s="6" t="str">
        <x:v>anomaly.insomniac_alarm</x:v>
      </x:c>
      <x:c r="B44" s="6" t="str">
        <x:v>失眠的闹钟</x:v>
      </x:c>
      <x:c r="C44" s="6" t="str">
        <x:v>普通异象</x:v>
      </x:c>
      <x:c r="D44" s="27" t="n">
        <x:v>1</x:v>
      </x:c>
      <x:c r="E44" s="27" t="n">
        <x:v>6</x:v>
      </x:c>
      <x:c r="F44" s="27" t="n">
        <x:v>2</x:v>
      </x:c>
      <x:c r="G44" s="27" t="n">
        <x:v>1</x:v>
      </x:c>
      <x:c r="H44" s="6" t="str">
        <x:v>clock_drag</x:v>
      </x:c>
      <x:c r="I44" s="6"/>
      <x:c r="J44" s="6"/>
      <x:c r="K44" s="6"/>
      <x:c r="L44" s="27" t="n">
        <x:f>COUNTA(H44:K44)</x:f>
        <x:v>1</x:v>
      </x:c>
      <x:c r="M44" s="27" t="n">
        <x:v>2</x:v>
      </x:c>
      <x:c r="N44" s="27" t="n">
        <x:v>3</x:v>
      </x:c>
      <x:c r="O44" s="6" t="str">
        <x:v>按技能基础参数与所属阶级伤害上限；不追加旧技能效果。</x:v>
      </x:c>
      <x:c r="P44" s="6" t="str">
        <x:v>替换snooze_pulse，不再额外周期冻结或清控制。</x:v>
      </x:c>
      <x:c r="Q44" s="6" t="str">
        <x:v>设计提案／未实装</x:v>
      </x:c>
    </x:row>
    <x:row r="45" ht="58" customHeight="1">
      <x:c r="A45" s="5" t="str">
        <x:v>anomaly.potted_keeper</x:v>
      </x:c>
      <x:c r="B45" s="5" t="str">
        <x:v>盆栽看守</x:v>
      </x:c>
      <x:c r="C45" s="5" t="str">
        <x:v>普通异象</x:v>
      </x:c>
      <x:c r="D45" s="28" t="n">
        <x:v>3</x:v>
      </x:c>
      <x:c r="E45" s="28" t="n">
        <x:v>8</x:v>
      </x:c>
      <x:c r="F45" s="28" t="n">
        <x:v>4</x:v>
      </x:c>
      <x:c r="G45" s="28" t="n">
        <x:v>2</x:v>
      </x:c>
      <x:c r="H45" s="5" t="str">
        <x:v>vine_grow</x:v>
      </x:c>
      <x:c r="I45" s="5"/>
      <x:c r="J45" s="5"/>
      <x:c r="K45" s="5"/>
      <x:c r="L45" s="28" t="n">
        <x:f>COUNTA(H45:K45)</x:f>
        <x:v>1</x:v>
      </x:c>
      <x:c r="M45" s="28" t="n">
        <x:v>2</x:v>
      </x:c>
      <x:c r="N45" s="28" t="n">
        <x:v>3</x:v>
      </x:c>
      <x:c r="O45" s="5" t="str">
        <x:v>按技能基础参数与所属阶级伤害上限；不追加旧技能效果。</x:v>
      </x:c>
      <x:c r="P45" s="5" t="str">
        <x:v>被动仅保留图鉴明确身份效果；相似旧主动不得与新技能重复结算。</x:v>
      </x:c>
      <x:c r="Q45" s="5" t="str">
        <x:v>设计提案／未实装</x:v>
      </x:c>
    </x:row>
    <x:row r="46" ht="58" customHeight="1">
      <x:c r="A46" s="6" t="str">
        <x:v>anomaly.subtitle_group</x:v>
      </x:c>
      <x:c r="B46" s="6" t="str">
        <x:v>字幕组</x:v>
      </x:c>
      <x:c r="C46" s="6" t="str">
        <x:v>普通异象</x:v>
      </x:c>
      <x:c r="D46" s="27" t="n">
        <x:v>9</x:v>
      </x:c>
      <x:c r="E46" s="27" t="n">
        <x:v>15</x:v>
      </x:c>
      <x:c r="F46" s="27" t="n">
        <x:v>5</x:v>
      </x:c>
      <x:c r="G46" s="27" t="n">
        <x:v>3</x:v>
      </x:c>
      <x:c r="H46" s="6" t="str">
        <x:v>mislabel</x:v>
      </x:c>
      <x:c r="I46" s="6"/>
      <x:c r="J46" s="6"/>
      <x:c r="K46" s="6"/>
      <x:c r="L46" s="27" t="n">
        <x:f>COUNTA(H46:K46)</x:f>
        <x:v>1</x:v>
      </x:c>
      <x:c r="M46" s="27" t="n">
        <x:v>2</x:v>
      </x:c>
      <x:c r="N46" s="27" t="n">
        <x:v>3</x:v>
      </x:c>
      <x:c r="O46" s="6" t="str">
        <x:v>按技能基础参数与所属阶级伤害上限；不追加旧技能效果。</x:v>
      </x:c>
      <x:c r="P46" s="6" t="str">
        <x:v>被动仅保留图鉴明确身份效果；相似旧主动不得与新技能重复结算。</x:v>
      </x:c>
      <x:c r="Q46" s="6" t="str">
        <x:v>设计提案／未实装</x:v>
      </x:c>
    </x:row>
    <x:row r="47" ht="58" customHeight="1">
      <x:c r="A47" s="5" t="str">
        <x:v>anomaly.echo_scribe</x:v>
      </x:c>
      <x:c r="B47" s="5" t="str">
        <x:v>回声抄写员</x:v>
      </x:c>
      <x:c r="C47" s="5" t="str">
        <x:v>普通异象</x:v>
      </x:c>
      <x:c r="D47" s="28" t="n">
        <x:v>10</x:v>
      </x:c>
      <x:c r="E47" s="28" t="n">
        <x:v>16</x:v>
      </x:c>
      <x:c r="F47" s="28" t="n">
        <x:v>6</x:v>
      </x:c>
      <x:c r="G47" s="28" t="n">
        <x:v>4</x:v>
      </x:c>
      <x:c r="H47" s="5" t="str">
        <x:v>echo_dash</x:v>
      </x:c>
      <x:c r="I47" s="5"/>
      <x:c r="J47" s="5"/>
      <x:c r="K47" s="5"/>
      <x:c r="L47" s="28" t="n">
        <x:f>COUNTA(H47:K47)</x:f>
        <x:v>1</x:v>
      </x:c>
      <x:c r="M47" s="28" t="n">
        <x:v>2</x:v>
      </x:c>
      <x:c r="N47" s="28" t="n">
        <x:v>3</x:v>
      </x:c>
      <x:c r="O47" s="5" t="str">
        <x:v>按技能基础参数与所属阶级伤害上限；不追加旧技能效果。</x:v>
      </x:c>
      <x:c r="P47" s="5" t="str">
        <x:v>被动仅保留图鉴明确身份效果；相似旧主动不得与新技能重复结算。</x:v>
      </x:c>
      <x:c r="Q47" s="5" t="str">
        <x:v>设计提案／未实装</x:v>
      </x:c>
    </x:row>
    <x:row r="48" ht="58" customHeight="1">
      <x:c r="A48" s="6" t="str">
        <x:v>anomaly.slow_projector</x:v>
      </x:c>
      <x:c r="B48" s="6" t="str">
        <x:v>慢速放映机</x:v>
      </x:c>
      <x:c r="C48" s="6" t="str">
        <x:v>普通异象</x:v>
      </x:c>
      <x:c r="D48" s="27" t="n">
        <x:v>11</x:v>
      </x:c>
      <x:c r="E48" s="27" t="n">
        <x:v>17</x:v>
      </x:c>
      <x:c r="F48" s="27" t="n">
        <x:v>7</x:v>
      </x:c>
      <x:c r="G48" s="27" t="n">
        <x:v>3</x:v>
      </x:c>
      <x:c r="H48" s="6" t="str">
        <x:v>slow_pool</x:v>
      </x:c>
      <x:c r="I48" s="6"/>
      <x:c r="J48" s="6"/>
      <x:c r="K48" s="6"/>
      <x:c r="L48" s="27" t="n">
        <x:f>COUNTA(H48:K48)</x:f>
        <x:v>1</x:v>
      </x:c>
      <x:c r="M48" s="27" t="n">
        <x:v>2</x:v>
      </x:c>
      <x:c r="N48" s="27" t="n">
        <x:v>3</x:v>
      </x:c>
      <x:c r="O48" s="6" t="str">
        <x:v>按技能基础参数与所属阶级伤害上限；不追加旧技能效果。</x:v>
      </x:c>
      <x:c r="P48" s="6" t="str">
        <x:v>旧slow_aura与迟帧场不叠加，优先迁移为主动。</x:v>
      </x:c>
      <x:c r="Q48" s="6" t="str">
        <x:v>设计提案／未实装</x:v>
      </x:c>
    </x:row>
    <x:row r="49" ht="58" customHeight="1">
      <x:c r="A49" s="5" t="str">
        <x:v>anomaly.return_runner</x:v>
      </x:c>
      <x:c r="B49" s="5" t="str">
        <x:v>折返跑者</x:v>
      </x:c>
      <x:c r="C49" s="5" t="str">
        <x:v>普通异象</x:v>
      </x:c>
      <x:c r="D49" s="28" t="n">
        <x:v>12</x:v>
      </x:c>
      <x:c r="E49" s="28" t="n">
        <x:v>18</x:v>
      </x:c>
      <x:c r="F49" s="28" t="n">
        <x:v>5</x:v>
      </x:c>
      <x:c r="G49" s="28" t="n">
        <x:v>5</x:v>
      </x:c>
      <x:c r="H49" s="5" t="str">
        <x:v>return_charge</x:v>
      </x:c>
      <x:c r="I49" s="5"/>
      <x:c r="J49" s="5"/>
      <x:c r="K49" s="5"/>
      <x:c r="L49" s="28" t="n">
        <x:f>COUNTA(H49:K49)</x:f>
        <x:v>1</x:v>
      </x:c>
      <x:c r="M49" s="28" t="n">
        <x:v>2</x:v>
      </x:c>
      <x:c r="N49" s="28" t="n">
        <x:v>3</x:v>
      </x:c>
      <x:c r="O49" s="5" t="str">
        <x:v>按技能基础参数与所属阶级伤害上限；不追加旧技能效果。</x:v>
      </x:c>
      <x:c r="P49" s="5" t="str">
        <x:v>替换boomerang周期免费位移。</x:v>
      </x:c>
      <x:c r="Q49" s="5" t="str">
        <x:v>设计提案／未实装</x:v>
      </x:c>
    </x:row>
    <x:row r="50" ht="58" customHeight="1">
      <x:c r="A50" s="6" t="str">
        <x:v>anomaly.oblivion_archivist</x:v>
      </x:c>
      <x:c r="B50" s="6" t="str">
        <x:v>遗忘档案员</x:v>
      </x:c>
      <x:c r="C50" s="6" t="str">
        <x:v>普通异象</x:v>
      </x:c>
      <x:c r="D50" s="27" t="n">
        <x:v>21</x:v>
      </x:c>
      <x:c r="E50" s="27" t="n">
        <x:v>26</x:v>
      </x:c>
      <x:c r="F50" s="27" t="n">
        <x:v>9</x:v>
      </x:c>
      <x:c r="G50" s="27" t="n">
        <x:v>5</x:v>
      </x:c>
      <x:c r="H50" s="6" t="str">
        <x:v>oblivion_mark</x:v>
      </x:c>
      <x:c r="I50" s="6"/>
      <x:c r="J50" s="6"/>
      <x:c r="K50" s="6"/>
      <x:c r="L50" s="27" t="n">
        <x:f>COUNTA(H50:K50)</x:f>
        <x:v>1</x:v>
      </x:c>
      <x:c r="M50" s="27" t="n">
        <x:v>2</x:v>
      </x:c>
      <x:c r="N50" s="27" t="n">
        <x:v>3</x:v>
      </x:c>
      <x:c r="O50" s="6" t="str">
        <x:v>oblivion_mark覆写：无即时心智伤；仅想象−1×2；取消同时命中驱散。</x:v>
      </x:c>
      <x:c r="P50" s="6" t="str">
        <x:v>被动仅保留图鉴明确身份效果；相似旧主动不得与新技能重复结算。</x:v>
      </x:c>
      <x:c r="Q50" s="6" t="str">
        <x:v>设计提案／未实装</x:v>
      </x:c>
    </x:row>
    <x:row r="51" ht="58" customHeight="1">
      <x:c r="A51" s="5" t="str">
        <x:v>anomaly.nightmare_herder</x:v>
      </x:c>
      <x:c r="B51" s="5" t="str">
        <x:v>噩梦牧者</x:v>
      </x:c>
      <x:c r="C51" s="5" t="str">
        <x:v>普通异象</x:v>
      </x:c>
      <x:c r="D51" s="28" t="n">
        <x:v>21</x:v>
      </x:c>
      <x:c r="E51" s="28" t="n">
        <x:v>27</x:v>
      </x:c>
      <x:c r="F51" s="28" t="n">
        <x:v>10</x:v>
      </x:c>
      <x:c r="G51" s="28" t="n">
        <x:v>4</x:v>
      </x:c>
      <x:c r="H51" s="5" t="str">
        <x:v>wake_allies</x:v>
      </x:c>
      <x:c r="I51" s="5"/>
      <x:c r="J51" s="5"/>
      <x:c r="K51" s="5"/>
      <x:c r="L51" s="28" t="n">
        <x:f>COUNTA(H51:K51)</x:f>
        <x:v>1</x:v>
      </x:c>
      <x:c r="M51" s="28" t="n">
        <x:v>2</x:v>
      </x:c>
      <x:c r="N51" s="28" t="n">
        <x:v>3</x:v>
      </x:c>
      <x:c r="O51" s="5" t="str">
        <x:v>按技能基础参数与所属阶级伤害上限；不追加旧技能效果。</x:v>
      </x:c>
      <x:c r="P51" s="5" t="str">
        <x:v>被动仅保留图鉴明确身份效果；相似旧主动不得与新技能重复结算。</x:v>
      </x:c>
      <x:c r="Q51" s="5" t="str">
        <x:v>设计提案／未实装</x:v>
      </x:c>
    </x:row>
    <x:row r="52" ht="58" customHeight="1">
      <x:c r="A52" s="6" t="str">
        <x:v>anomaly.sleepless_watch</x:v>
      </x:c>
      <x:c r="B52" s="6" t="str">
        <x:v>无眠更夫</x:v>
      </x:c>
      <x:c r="C52" s="6" t="str">
        <x:v>普通异象</x:v>
      </x:c>
      <x:c r="D52" s="27" t="n">
        <x:v>22</x:v>
      </x:c>
      <x:c r="E52" s="27" t="n">
        <x:v>27</x:v>
      </x:c>
      <x:c r="F52" s="27" t="n">
        <x:v>8</x:v>
      </x:c>
      <x:c r="G52" s="27" t="n">
        <x:v>6</x:v>
      </x:c>
      <x:c r="H52" s="6" t="str">
        <x:v>shadow_step</x:v>
      </x:c>
      <x:c r="I52" s="6"/>
      <x:c r="J52" s="6"/>
      <x:c r="K52" s="6"/>
      <x:c r="L52" s="27" t="n">
        <x:f>COUNTA(H52:K52)</x:f>
        <x:v>1</x:v>
      </x:c>
      <x:c r="M52" s="27" t="n">
        <x:v>2</x:v>
      </x:c>
      <x:c r="N52" s="27" t="n">
        <x:v>3</x:v>
      </x:c>
      <x:c r="O52" s="6" t="str">
        <x:v>按技能基础参数与所属阶级伤害上限；不追加旧技能效果。</x:v>
      </x:c>
      <x:c r="P52" s="6" t="str">
        <x:v>被动仅保留图鉴明确身份效果；相似旧主动不得与新技能重复结算。</x:v>
      </x:c>
      <x:c r="Q52" s="6" t="str">
        <x:v>设计提案／未实装</x:v>
      </x:c>
    </x:row>
    <x:row r="53" ht="58" customHeight="1">
      <x:c r="A53" s="5" t="str">
        <x:v>anomaly.ink_bottle_guard</x:v>
      </x:c>
      <x:c r="B53" s="5" t="str">
        <x:v>墨水瓶守卫</x:v>
      </x:c>
      <x:c r="C53" s="5" t="str">
        <x:v>普通异象</x:v>
      </x:c>
      <x:c r="D53" s="28" t="n">
        <x:v>21</x:v>
      </x:c>
      <x:c r="E53" s="28" t="n">
        <x:v>26</x:v>
      </x:c>
      <x:c r="F53" s="28" t="n">
        <x:v>9</x:v>
      </x:c>
      <x:c r="G53" s="28" t="n">
        <x:v>5</x:v>
      </x:c>
      <x:c r="H53" s="5" t="str">
        <x:v>ink_pool</x:v>
      </x:c>
      <x:c r="I53" s="5"/>
      <x:c r="J53" s="5"/>
      <x:c r="K53" s="5"/>
      <x:c r="L53" s="28" t="n">
        <x:f>COUNTA(H53:K53)</x:f>
        <x:v>1</x:v>
      </x:c>
      <x:c r="M53" s="28" t="n">
        <x:v>2</x:v>
      </x:c>
      <x:c r="N53" s="28" t="n">
        <x:v>3</x:v>
      </x:c>
      <x:c r="O53" s="5" t="str">
        <x:v>按技能基础参数与所属阶级伤害上限；不追加旧技能效果。</x:v>
      </x:c>
      <x:c r="P53" s="5" t="str">
        <x:v>替换emanate周期黑墨；死亡漏墨保留但不增加数量。</x:v>
      </x:c>
      <x:c r="Q53" s="5" t="str">
        <x:v>设计提案／未实装</x:v>
      </x:c>
    </x:row>
    <x:row r="54" ht="58" customHeight="1">
      <x:c r="A54" s="6" t="str">
        <x:v>anomaly.lullaby_hummer</x:v>
      </x:c>
      <x:c r="B54" s="6" t="str">
        <x:v>摇篮曲哼唱者</x:v>
      </x:c>
      <x:c r="C54" s="6" t="str">
        <x:v>普通异象</x:v>
      </x:c>
      <x:c r="D54" s="27" t="n">
        <x:v>23</x:v>
      </x:c>
      <x:c r="E54" s="27" t="n">
        <x:v>27</x:v>
      </x:c>
      <x:c r="F54" s="27" t="n">
        <x:v>8</x:v>
      </x:c>
      <x:c r="G54" s="27" t="n">
        <x:v>3</x:v>
      </x:c>
      <x:c r="H54" s="6" t="str">
        <x:v>lullaby</x:v>
      </x:c>
      <x:c r="I54" s="6"/>
      <x:c r="J54" s="6"/>
      <x:c r="K54" s="6"/>
      <x:c r="L54" s="27" t="n">
        <x:f>COUNTA(H54:K54)</x:f>
        <x:v>1</x:v>
      </x:c>
      <x:c r="M54" s="27" t="n">
        <x:v>2</x:v>
      </x:c>
      <x:c r="N54" s="27" t="n">
        <x:v>3</x:v>
      </x:c>
      <x:c r="O54" s="6" t="str">
        <x:v>按技能基础参数与所属阶级伤害上限；不追加旧技能效果。</x:v>
      </x:c>
      <x:c r="P54" s="6" t="str">
        <x:v>移除旧lullaby被动控制，改为断续摇篮曲。</x:v>
      </x:c>
      <x:c r="Q54" s="6" t="str">
        <x:v>设计提案／未实装</x:v>
      </x:c>
    </x:row>
    <x:row r="55" ht="58" customHeight="1">
      <x:c r="A55" s="5" t="str">
        <x:v>anomaly.projection_crew</x:v>
      </x:c>
      <x:c r="B55" s="5" t="str">
        <x:v>强烈异象·巡回放映队</x:v>
      </x:c>
      <x:c r="C55" s="5" t="str">
        <x:v>强烈异象</x:v>
      </x:c>
      <x:c r="D55" s="28" t="n">
        <x:v>13</x:v>
      </x:c>
      <x:c r="E55" s="28" t="n">
        <x:v>19</x:v>
      </x:c>
      <x:c r="F55" s="28" t="n">
        <x:v>8</x:v>
      </x:c>
      <x:c r="G55" s="28" t="n">
        <x:v>6</x:v>
      </x:c>
      <x:c r="H55" s="5" t="str">
        <x:v>split_echo</x:v>
      </x:c>
      <x:c r="I55" s="5" t="str">
        <x:v>slow_pool</x:v>
      </x:c>
      <x:c r="J55" s="5"/>
      <x:c r="K55" s="5"/>
      <x:c r="L55" s="28" t="n">
        <x:f>COUNTA(H55:K55)</x:f>
        <x:v>2</x:v>
      </x:c>
      <x:c r="M55" s="28" t="n">
        <x:v>2</x:v>
      </x:c>
      <x:c r="N55" s="28" t="n">
        <x:v>3</x:v>
      </x:c>
      <x:c r="O55" s="5" t="str">
        <x:v>原分身与主动残影共用预算，场上同源最多1。</x:v>
      </x:c>
      <x:c r="P55" s="5" t="str">
        <x:v>被动仅保留图鉴明确身份效果；相似旧主动不得与新技能重复结算。</x:v>
      </x:c>
      <x:c r="Q55" s="5" t="str">
        <x:v>设计提案／未实装</x:v>
      </x:c>
    </x:row>
    <x:row r="56" ht="58" customHeight="1">
      <x:c r="A56" s="6" t="str">
        <x:v>anomaly.long_take_director</x:v>
      </x:c>
      <x:c r="B56" s="6" t="str">
        <x:v>强烈异象·长镜头导演</x:v>
      </x:c>
      <x:c r="C56" s="6" t="str">
        <x:v>强烈异象</x:v>
      </x:c>
      <x:c r="D56" s="27" t="n">
        <x:v>16</x:v>
      </x:c>
      <x:c r="E56" s="27" t="n">
        <x:v>22</x:v>
      </x:c>
      <x:c r="F56" s="27" t="n">
        <x:v>9</x:v>
      </x:c>
      <x:c r="G56" s="27" t="n">
        <x:v>7</x:v>
      </x:c>
      <x:c r="H56" s="6" t="str">
        <x:v>null_ray</x:v>
      </x:c>
      <x:c r="I56" s="6" t="str">
        <x:v>slow_pool</x:v>
      </x:c>
      <x:c r="J56" s="6"/>
      <x:c r="K56" s="6"/>
      <x:c r="L56" s="27" t="n">
        <x:f>COUNTA(H56:K56)</x:f>
        <x:v>2</x:v>
      </x:c>
      <x:c r="M56" s="27" t="n">
        <x:v>2</x:v>
      </x:c>
      <x:c r="N56" s="27" t="n">
        <x:v>3</x:v>
      </x:c>
      <x:c r="O56" s="6" t="str">
        <x:v>按技能基础参数与所属阶级伤害上限；不追加旧技能效果。</x:v>
      </x:c>
      <x:c r="P56" s="6" t="str">
        <x:v>删除旧every=2的ranged命中，改为射线施法。</x:v>
      </x:c>
      <x:c r="Q56" s="6" t="str">
        <x:v>设计提案／未实装</x:v>
      </x:c>
    </x:row>
    <x:row r="57" ht="58" customHeight="1">
      <x:c r="A57" s="5" t="str">
        <x:v>anomaly.silent_proofreader</x:v>
      </x:c>
      <x:c r="B57" s="5" t="str">
        <x:v>强烈异象·无字校对员</x:v>
      </x:c>
      <x:c r="C57" s="5" t="str">
        <x:v>强烈异象</x:v>
      </x:c>
      <x:c r="D57" s="28" t="n">
        <x:v>21</x:v>
      </x:c>
      <x:c r="E57" s="28" t="n">
        <x:v>26</x:v>
      </x:c>
      <x:c r="F57" s="28" t="n">
        <x:v>12</x:v>
      </x:c>
      <x:c r="G57" s="28" t="n">
        <x:v>6</x:v>
      </x:c>
      <x:c r="H57" s="5" t="str">
        <x:v>redact_buff</x:v>
      </x:c>
      <x:c r="I57" s="5" t="str">
        <x:v>oblivion_mark</x:v>
      </x:c>
      <x:c r="J57" s="5"/>
      <x:c r="K57" s="5"/>
      <x:c r="L57" s="28" t="n">
        <x:f>COUNTA(H57:K57)</x:f>
        <x:v>2</x:v>
      </x:c>
      <x:c r="M57" s="28" t="n">
        <x:v>2</x:v>
      </x:c>
      <x:c r="N57" s="28" t="n">
        <x:v>3</x:v>
      </x:c>
      <x:c r="O57" s="5" t="str">
        <x:v>按技能基础参数与所属阶级伤害上限；不追加旧技能效果。</x:v>
      </x:c>
      <x:c r="P57" s="5" t="str">
        <x:v>替换redact命中封构想。</x:v>
      </x:c>
      <x:c r="Q57" s="5" t="str">
        <x:v>设计提案／未实装</x:v>
      </x:c>
    </x:row>
    <x:row r="58" ht="58" customHeight="1">
      <x:c r="A58" s="6" t="str">
        <x:v>anomaly.abyss_ruler</x:v>
      </x:c>
      <x:c r="B58" s="6" t="str">
        <x:v>强烈异象·深渊量尺</x:v>
      </x:c>
      <x:c r="C58" s="6" t="str">
        <x:v>强烈异象</x:v>
      </x:c>
      <x:c r="D58" s="27" t="n">
        <x:v>24</x:v>
      </x:c>
      <x:c r="E58" s="27" t="n">
        <x:v>27</x:v>
      </x:c>
      <x:c r="F58" s="27" t="n">
        <x:v>14</x:v>
      </x:c>
      <x:c r="G58" s="27" t="n">
        <x:v>8</x:v>
      </x:c>
      <x:c r="H58" s="6" t="str">
        <x:v>abyss_pull</x:v>
      </x:c>
      <x:c r="I58" s="6" t="str">
        <x:v>space_fold</x:v>
      </x:c>
      <x:c r="J58" s="6"/>
      <x:c r="K58" s="6"/>
      <x:c r="L58" s="27" t="n">
        <x:f>COUNTA(H58:K58)</x:f>
        <x:v>2</x:v>
      </x:c>
      <x:c r="M58" s="27" t="n">
        <x:v>2</x:v>
      </x:c>
      <x:c r="N58" s="27" t="n">
        <x:v>3</x:v>
      </x:c>
      <x:c r="O58" s="6" t="str">
        <x:v>按技能基础参数与所属阶级伤害上限；不追加旧技能效果。</x:v>
      </x:c>
      <x:c r="P58" s="6" t="str">
        <x:v>替换pull周期位移。</x:v>
      </x:c>
      <x:c r="Q58" s="6" t="str">
        <x:v>设计提案／未实装</x:v>
      </x:c>
    </x:row>
    <x:row r="59" ht="58" customHeight="1">
      <x:c r="A59" s="5" t="str">
        <x:v>anomaly.pyre_singer</x:v>
      </x:c>
      <x:c r="B59" s="5" t="str">
        <x:v>焚焰歌者</x:v>
      </x:c>
      <x:c r="C59" s="5" t="str">
        <x:v>普通异象</x:v>
      </x:c>
      <x:c r="D59" s="28" t="n">
        <x:v>11</x:v>
      </x:c>
      <x:c r="E59" s="28" t="n">
        <x:v>18</x:v>
      </x:c>
      <x:c r="F59" s="28" t="n">
        <x:v>6</x:v>
      </x:c>
      <x:c r="G59" s="28" t="n">
        <x:v>4</x:v>
      </x:c>
      <x:c r="H59" s="5" t="str">
        <x:v>fire_seed</x:v>
      </x:c>
      <x:c r="I59" s="5"/>
      <x:c r="J59" s="5"/>
      <x:c r="K59" s="5"/>
      <x:c r="L59" s="28" t="n">
        <x:f>COUNTA(H59:K59)</x:f>
        <x:v>1</x:v>
      </x:c>
      <x:c r="M59" s="28" t="n">
        <x:v>2</x:v>
      </x:c>
      <x:c r="N59" s="28" t="n">
        <x:v>3</x:v>
      </x:c>
      <x:c r="O59" s="5" t="str">
        <x:v>按技能基础参数与所属阶级伤害上限；不追加旧技能效果。</x:v>
      </x:c>
      <x:c r="P59" s="5" t="str">
        <x:v>替换无统一状态的ignite，每源仅一片受控火场。</x:v>
      </x:c>
      <x:c r="Q59" s="5" t="str">
        <x:v>设计提案／未实装</x:v>
      </x:c>
    </x:row>
    <x:row r="60" ht="58" customHeight="1">
      <x:c r="A60" s="6" t="str">
        <x:v>anomaly.unopened_gift</x:v>
      </x:c>
      <x:c r="B60" s="6" t="str">
        <x:v>未拆的礼盒</x:v>
      </x:c>
      <x:c r="C60" s="6" t="str">
        <x:v>普通异象</x:v>
      </x:c>
      <x:c r="D60" s="27" t="n">
        <x:v>14</x:v>
      </x:c>
      <x:c r="E60" s="27" t="n">
        <x:v>20</x:v>
      </x:c>
      <x:c r="F60" s="27" t="n">
        <x:v>7</x:v>
      </x:c>
      <x:c r="G60" s="27" t="n">
        <x:v>5</x:v>
      </x:c>
      <x:c r="H60" s="6" t="str">
        <x:v>gift_bomb</x:v>
      </x:c>
      <x:c r="I60" s="6"/>
      <x:c r="J60" s="6"/>
      <x:c r="K60" s="6"/>
      <x:c r="L60" s="27" t="n">
        <x:f>COUNTA(H60:K60)</x:f>
        <x:v>1</x:v>
      </x:c>
      <x:c r="M60" s="27" t="n">
        <x:v>2</x:v>
      </x:c>
      <x:c r="N60" s="27" t="n">
        <x:v>3</x:v>
      </x:c>
      <x:c r="O60" s="6" t="str">
        <x:v>按技能基础参数与所属阶级伤害上限；不追加旧技能效果。</x:v>
      </x:c>
      <x:c r="P60" s="6" t="str">
        <x:v>替换enemy_bombs瞬态，落地引信作为可保存场实体。</x:v>
      </x:c>
      <x:c r="Q60" s="6" t="str">
        <x:v>设计提案／未实装</x:v>
      </x:c>
    </x:row>
    <x:row r="61" ht="58" customHeight="1">
      <x:c r="A61" s="5" t="str">
        <x:v>anomaly.fog_breather</x:v>
      </x:c>
      <x:c r="B61" s="5" t="str">
        <x:v>雾喘</x:v>
      </x:c>
      <x:c r="C61" s="5" t="str">
        <x:v>普通异象</x:v>
      </x:c>
      <x:c r="D61" s="28" t="n">
        <x:v>8</x:v>
      </x:c>
      <x:c r="E61" s="28" t="n">
        <x:v>14</x:v>
      </x:c>
      <x:c r="F61" s="28" t="n">
        <x:v>5</x:v>
      </x:c>
      <x:c r="G61" s="28" t="n">
        <x:v>3</x:v>
      </x:c>
      <x:c r="H61" s="5" t="str">
        <x:v>fog_veil</x:v>
      </x:c>
      <x:c r="I61" s="5"/>
      <x:c r="J61" s="5"/>
      <x:c r="K61" s="5"/>
      <x:c r="L61" s="28" t="n">
        <x:f>COUNTA(H61:K61)</x:f>
        <x:v>1</x:v>
      </x:c>
      <x:c r="M61" s="28" t="n">
        <x:v>2</x:v>
      </x:c>
      <x:c r="N61" s="28" t="n">
        <x:v>3</x:v>
      </x:c>
      <x:c r="O61" s="5" t="str">
        <x:v>按技能基础参数与所属阶级伤害上限；不追加旧技能效果。</x:v>
      </x:c>
      <x:c r="P61" s="5" t="str">
        <x:v>替换emanate永久雾，使用临时无资源DOT雾场。</x:v>
      </x:c>
      <x:c r="Q61" s="5" t="str">
        <x:v>设计提案／未实装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a718877c187a41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9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7" customHeight="1">
      <x:c r="A2" s="2" t="str">
        <x:v>局部粒子演出 · 10种</x:v>
      </x:c>
      <x:c r="B2" s="2"/>
      <x:c r="C2" s="2"/>
      <x:c r="D2" s="2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" t="str">
        <x:v>释放秒仅为落地/无弹道阶段；飞行按路径长度另计。总字符预算与弹道/火舌共享；关闭档保留完整静态预警。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8" t="str">
        <x:v>预设ID</x:v>
      </x:c>
      <x:c r="B5" s="8" t="str">
        <x:v>色彩角色</x:v>
      </x:c>
      <x:c r="C5" s="8" t="str">
        <x:v>主色HEX</x:v>
      </x:c>
      <x:c r="D5" s="8" t="str">
        <x:v>亮色HEX</x:v>
      </x:c>
      <x:c r="E5" s="8" t="str">
        <x:v>主粒子</x:v>
      </x:c>
      <x:c r="F5" s="8" t="str">
        <x:v>占终端列</x:v>
      </x:c>
      <x:c r="G5" s="8" t="str">
        <x:v>预警高档字符格</x:v>
      </x:c>
      <x:c r="H5" s="8" t="str">
        <x:v>预警低档字符格</x:v>
      </x:c>
      <x:c r="I5" s="8" t="str">
        <x:v>释放高档字符格</x:v>
      </x:c>
      <x:c r="J5" s="8" t="str">
        <x:v>释放低档字符格</x:v>
      </x:c>
      <x:c r="K5" s="8" t="str">
        <x:v>入场秒</x:v>
      </x:c>
      <x:c r="L5" s="8" t="str">
        <x:v>释放秒</x:v>
      </x:c>
      <x:c r="M5" s="8" t="str">
        <x:v>收尾秒</x:v>
      </x:c>
      <x:c r="N5" s="8" t="str">
        <x:v>范围提示与演员保护</x:v>
      </x:c>
    </x:row>
    <x:row r="6" ht="48" customHeight="1">
      <x:c r="A6" s="6" t="str">
        <x:v>needle</x:v>
      </x:c>
      <x:c r="B6" s="6" t="str">
        <x:v>青白／清醒冷金</x:v>
      </x:c>
      <x:c r="C6" s="32" t="str">
        <x:v>#bde8ee</x:v>
      </x:c>
      <x:c r="D6" s="33" t="str">
        <x:v>#f5d487</x:v>
      </x:c>
      <x:c r="E6" s="6" t="str">
        <x:v>.</x:v>
      </x:c>
      <x:c r="F6" s="27" t="n">
        <x:v>1</x:v>
      </x:c>
      <x:c r="G6" s="27" t="n">
        <x:v>3</x:v>
      </x:c>
      <x:c r="H6" s="27" t="n">
        <x:v>2</x:v>
      </x:c>
      <x:c r="I6" s="27" t="n">
        <x:v>6</x:v>
      </x:c>
      <x:c r="J6" s="27" t="n">
        <x:v>3</x:v>
      </x:c>
      <x:c r="K6" s="24" t="n">
        <x:v>0.12</x:v>
      </x:c>
      <x:c r="L6" s="24" t="n">
        <x:v>0.4</x:v>
      </x:c>
      <x:c r="M6" s="24" t="n">
        <x:v>0.2</x:v>
      </x:c>
      <x:c r="N6" s="6" t="str">
        <x:v>固定线全格淡样式；移动亮点+方向拖尾；命中不覆盖演员</x:v>
      </x:c>
    </x:row>
    <x:row r="7" ht="48" customHeight="1">
      <x:c r="A7" s="5" t="str">
        <x:v>push</x:v>
      </x:c>
      <x:c r="B7" s="5" t="str">
        <x:v>琥珀</x:v>
      </x:c>
      <x:c r="C7" s="34" t="str">
        <x:v>#efb267</x:v>
      </x:c>
      <x:c r="D7" s="35" t="str">
        <x:v>#ffe2a3</x:v>
      </x:c>
      <x:c r="E7" s="5" t="str">
        <x:v>&gt;</x:v>
      </x:c>
      <x:c r="F7" s="28" t="n">
        <x:v>1</x:v>
      </x:c>
      <x:c r="G7" s="28" t="n">
        <x:v>4</x:v>
      </x:c>
      <x:c r="H7" s="28" t="n">
        <x:v>2</x:v>
      </x:c>
      <x:c r="I7" s="28" t="n">
        <x:v>6</x:v>
      </x:c>
      <x:c r="J7" s="28" t="n">
        <x:v>3</x:v>
      </x:c>
      <x:c r="K7" s="31" t="n">
        <x:v>0.15</x:v>
      </x:c>
      <x:c r="L7" s="31" t="n">
        <x:v>0.35</x:v>
      </x:c>
      <x:c r="M7" s="31" t="n">
        <x:v>0.2</x:v>
      </x:c>
      <x:c r="N7" s="5" t="str">
        <x:v>路径及目的格常驻预警；一束方向标记，无全屏震动</x:v>
      </x:c>
    </x:row>
    <x:row r="8" ht="48" customHeight="1">
      <x:c r="A8" s="6" t="str">
        <x:v>hex</x:v>
      </x:c>
      <x:c r="B8" s="6" t="str">
        <x:v>紫红</x:v>
      </x:c>
      <x:c r="C8" s="36" t="str">
        <x:v>#bb90d6</x:v>
      </x:c>
      <x:c r="D8" s="37" t="str">
        <x:v>#efadc5</x:v>
      </x:c>
      <x:c r="E8" s="6" t="str">
        <x:v>:</x:v>
      </x:c>
      <x:c r="F8" s="27" t="n">
        <x:v>1</x:v>
      </x:c>
      <x:c r="G8" s="27" t="n">
        <x:v>3</x:v>
      </x:c>
      <x:c r="H8" s="27" t="n">
        <x:v>2</x:v>
      </x:c>
      <x:c r="I8" s="27" t="n">
        <x:v>5</x:v>
      </x:c>
      <x:c r="J8" s="27" t="n">
        <x:v>2</x:v>
      </x:c>
      <x:c r="K8" s="24" t="n">
        <x:v>0.15</x:v>
      </x:c>
      <x:c r="L8" s="24" t="n">
        <x:v>0.4</x:v>
      </x:c>
      <x:c r="M8" s="24" t="n">
        <x:v>0.2</x:v>
      </x:c>
      <x:c r="N8" s="6" t="str">
        <x:v>落点细角与施法者一点；命中短弧，保留演员字形</x:v>
      </x:c>
    </x:row>
    <x:row r="9" ht="48" customHeight="1">
      <x:c r="A9" s="5" t="str">
        <x:v>boon</x:v>
      </x:c>
      <x:c r="B9" s="5" t="str">
        <x:v>金绿</x:v>
      </x:c>
      <x:c r="C9" s="38" t="str">
        <x:v>#a8cf96</x:v>
      </x:c>
      <x:c r="D9" s="39" t="str">
        <x:v>#ecd9a2</x:v>
      </x:c>
      <x:c r="E9" s="5" t="str">
        <x:v>+</x:v>
      </x:c>
      <x:c r="F9" s="28" t="n">
        <x:v>1</x:v>
      </x:c>
      <x:c r="G9" s="28" t="n">
        <x:v>2</x:v>
      </x:c>
      <x:c r="H9" s="28" t="n">
        <x:v>2</x:v>
      </x:c>
      <x:c r="I9" s="28" t="n">
        <x:v>5</x:v>
      </x:c>
      <x:c r="J9" s="28" t="n">
        <x:v>2</x:v>
      </x:c>
      <x:c r="K9" s="31" t="n">
        <x:v>0.12</x:v>
      </x:c>
      <x:c r="L9" s="31" t="n">
        <x:v>0.35</x:v>
      </x:c>
      <x:c r="M9" s="31" t="n">
        <x:v>0.2</x:v>
      </x:c>
      <x:c r="N9" s="5" t="str">
        <x:v>至多两条细粒子连线；共同行为另用金白，不误作伤害</x:v>
      </x:c>
    </x:row>
    <x:row r="10" ht="48" customHeight="1">
      <x:c r="A10" s="6" t="str">
        <x:v>sound</x:v>
      </x:c>
      <x:c r="B10" s="6" t="str">
        <x:v>蓝紫</x:v>
      </x:c>
      <x:c r="C10" s="40" t="str">
        <x:v>#8fa9dc</x:v>
      </x:c>
      <x:c r="D10" s="41" t="str">
        <x:v>#c6b8ef</x:v>
      </x:c>
      <x:c r="E10" s="6" t="str">
        <x:v>~</x:v>
      </x:c>
      <x:c r="F10" s="27" t="n">
        <x:v>1</x:v>
      </x:c>
      <x:c r="G10" s="27" t="n">
        <x:v>4</x:v>
      </x:c>
      <x:c r="H10" s="27" t="n">
        <x:v>2</x:v>
      </x:c>
      <x:c r="I10" s="27" t="n">
        <x:v>8</x:v>
      </x:c>
      <x:c r="J10" s="27" t="n">
        <x:v>4</x:v>
      </x:c>
      <x:c r="K10" s="24" t="n">
        <x:v>0.18</x:v>
      </x:c>
      <x:c r="L10" s="24" t="n">
        <x:v>0.5</x:v>
      </x:c>
      <x:c r="M10" s="24" t="n">
        <x:v>0.2</x:v>
      </x:c>
      <x:c r="N10" s="6" t="str">
        <x:v>只有已预警受害格上的断续环；不是屏幕全幅声波</x:v>
      </x:c>
    </x:row>
    <x:row r="11" ht="48" customHeight="1">
      <x:c r="A11" s="5" t="str">
        <x:v>terrain</x:v>
      </x:c>
      <x:c r="B11" s="5" t="str">
        <x:v>灰青</x:v>
      </x:c>
      <x:c r="C11" s="42" t="str">
        <x:v>#93b9ae</x:v>
      </x:c>
      <x:c r="D11" s="43" t="str">
        <x:v>#d6e3cb</x:v>
      </x:c>
      <x:c r="E11" s="5" t="str">
        <x:v>:</x:v>
      </x:c>
      <x:c r="F11" s="28" t="n">
        <x:v>1</x:v>
      </x:c>
      <x:c r="G11" s="28" t="n">
        <x:v>3</x:v>
      </x:c>
      <x:c r="H11" s="28" t="n">
        <x:v>2</x:v>
      </x:c>
      <x:c r="I11" s="28" t="n">
        <x:v>6</x:v>
      </x:c>
      <x:c r="J11" s="28" t="n">
        <x:v>3</x:v>
      </x:c>
      <x:c r="K11" s="31" t="n">
        <x:v>0.18</x:v>
      </x:c>
      <x:c r="L11" s="31" t="n">
        <x:v>0.45</x:v>
      </x:c>
      <x:c r="M11" s="31" t="n">
        <x:v>0.2</x:v>
      </x:c>
      <x:c r="N11" s="5" t="str">
        <x:v>受改造格角点，最终地形由基帧恢复；任务格不闪</x:v>
      </x:c>
    </x:row>
    <x:row r="12" ht="48" customHeight="1">
      <x:c r="A12" s="6" t="str">
        <x:v>fold</x:v>
      </x:c>
      <x:c r="B12" s="6" t="str">
        <x:v>浅紫</x:v>
      </x:c>
      <x:c r="C12" s="44" t="str">
        <x:v>#b6a8d5</x:v>
      </x:c>
      <x:c r="D12" s="45" t="str">
        <x:v>#eadbff</x:v>
      </x:c>
      <x:c r="E12" s="6" t="str">
        <x:v>/</x:v>
      </x:c>
      <x:c r="F12" s="27" t="n">
        <x:v>1</x:v>
      </x:c>
      <x:c r="G12" s="27" t="n">
        <x:v>3</x:v>
      </x:c>
      <x:c r="H12" s="27" t="n">
        <x:v>2</x:v>
      </x:c>
      <x:c r="I12" s="27" t="n">
        <x:v>6</x:v>
      </x:c>
      <x:c r="J12" s="27" t="n">
        <x:v>3</x:v>
      </x:c>
      <x:c r="K12" s="24" t="n">
        <x:v>0.15</x:v>
      </x:c>
      <x:c r="L12" s="24" t="n">
        <x:v>0.45</x:v>
      </x:c>
      <x:c r="M12" s="24" t="n">
        <x:v>0.2</x:v>
      </x:c>
      <x:c r="N12" s="6" t="str">
        <x:v>出生/目的格细角，短折线，不覆盖门、箱子、机关</x:v>
      </x:c>
    </x:row>
    <x:row r="13" ht="48" customHeight="1">
      <x:c r="A13" s="5" t="str">
        <x:v>field</x:v>
      </x:c>
      <x:c r="B13" s="5" t="str">
        <x:v>青蓝</x:v>
      </x:c>
      <x:c r="C13" s="46" t="str">
        <x:v>#7bafb8</x:v>
      </x:c>
      <x:c r="D13" s="47" t="str">
        <x:v>#b8d9dc</x:v>
      </x:c>
      <x:c r="E13" s="5" t="str">
        <x:v>=</x:v>
      </x:c>
      <x:c r="F13" s="28" t="n">
        <x:v>1</x:v>
      </x:c>
      <x:c r="G13" s="28" t="n">
        <x:v>3</x:v>
      </x:c>
      <x:c r="H13" s="28" t="n">
        <x:v>2</x:v>
      </x:c>
      <x:c r="I13" s="28" t="n">
        <x:v>6</x:v>
      </x:c>
      <x:c r="J13" s="28" t="n">
        <x:v>3</x:v>
      </x:c>
      <x:c r="K13" s="31" t="n">
        <x:v>0.18</x:v>
      </x:c>
      <x:c r="L13" s="31" t="n">
        <x:v>0.5</x:v>
      </x:c>
      <x:c r="M13" s="31" t="n">
        <x:v>0.2</x:v>
      </x:c>
      <x:c r="N13" s="5" t="str">
        <x:v>全受害格静态细样式；装饰字符稀疏采样，不连片填满</x:v>
      </x:c>
    </x:row>
    <x:row r="14" ht="48" customHeight="1">
      <x:c r="A14" s="6" t="str">
        <x:v>fire</x:v>
      </x:c>
      <x:c r="B14" s="6" t="str">
        <x:v>橙金</x:v>
      </x:c>
      <x:c r="C14" s="48" t="str">
        <x:v>#d99150</x:v>
      </x:c>
      <x:c r="D14" s="49" t="str">
        <x:v>#f5cf88</x:v>
      </x:c>
      <x:c r="E14" s="6" t="str">
        <x:v>^</x:v>
      </x:c>
      <x:c r="F14" s="27" t="n">
        <x:v>1</x:v>
      </x:c>
      <x:c r="G14" s="27" t="n">
        <x:v>3</x:v>
      </x:c>
      <x:c r="H14" s="27" t="n">
        <x:v>2</x:v>
      </x:c>
      <x:c r="I14" s="27" t="n">
        <x:v>6</x:v>
      </x:c>
      <x:c r="J14" s="27" t="n">
        <x:v>3</x:v>
      </x:c>
      <x:c r="K14" s="24" t="n">
        <x:v>0.15</x:v>
      </x:c>
      <x:c r="L14" s="24" t="n">
        <x:v>0.5</x:v>
      </x:c>
      <x:c r="M14" s="24" t="n">
        <x:v>0.2</x:v>
      </x:c>
      <x:c r="N14" s="6" t="str">
        <x:v>3格火舌；不刷高亮底；火场样式与演员分开</x:v>
      </x:c>
    </x:row>
    <x:row r="15" ht="48" customHeight="1">
      <x:c r="A15" s="5" t="str">
        <x:v>blast</x:v>
      </x:c>
      <x:c r="B15" s="5" t="str">
        <x:v>珊瑚白</x:v>
      </x:c>
      <x:c r="C15" s="50" t="str">
        <x:v>#d78a80</x:v>
      </x:c>
      <x:c r="D15" s="51" t="str">
        <x:v>#f4ded6</x:v>
      </x:c>
      <x:c r="E15" s="5" t="str">
        <x:v>*</x:v>
      </x:c>
      <x:c r="F15" s="28" t="n">
        <x:v>1</x:v>
      </x:c>
      <x:c r="G15" s="28" t="n">
        <x:v>4</x:v>
      </x:c>
      <x:c r="H15" s="28" t="n">
        <x:v>2</x:v>
      </x:c>
      <x:c r="I15" s="28" t="n">
        <x:v>8</x:v>
      </x:c>
      <x:c r="J15" s="28" t="n">
        <x:v>4</x:v>
      </x:c>
      <x:c r="K15" s="31" t="n">
        <x:v>0.18</x:v>
      </x:c>
      <x:c r="L15" s="31" t="n">
        <x:v>0.7</x:v>
      </x:c>
      <x:c r="M15" s="31" t="n">
        <x:v>0.2</x:v>
      </x:c>
      <x:c r="N15" s="5" t="str">
        <x:v>按已结算格的菱形边缘扩张；一圈冲击，不每格起涟漪</x:v>
      </x:c>
    </x:row>
  </x:sheetData>
  <x:mergeCells>
    <x:mergeCell ref="A2:D2"/>
    <x:mergeCell ref="A4:N4"/>
  </x:mergeCells>
  <x:pageMargins left="0.7" right="0.7" top="0.75" bottom="0.75" header="0.3" footer="0.3"/>
  <x:tableParts count="1">
    <x:tablePart xmlns:r="http://schemas.openxmlformats.org/officeDocument/2006/relationships" r:id="R8ec98dd2381048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76" hidden="0" customWidth="1"/>
    <x:col min="3" max="3" width="19" hidden="0" customWidth="1"/>
    <x:col min="4" max="4" width="80" hidden="0" customWidth="1"/>
    <x:col min="5" max="5" width="40" hidden="0" customWidth="1"/>
  </x:cols>
  <x:sheetData>
    <x:row r="1">
      <x:c r="A1" s="1"/>
      <x:c r="B1" s="1"/>
      <x:c r="C1" s="1"/>
      <x:c r="D1" s="1"/>
      <x:c r="E1" s="1"/>
    </x:row>
    <x:row r="2" ht="27" customHeight="1">
      <x:c r="A2" s="2" t="str">
        <x:v>调参规则 · 建议起点与来源</x:v>
      </x:c>
      <x:c r="B2" s="2"/>
      <x:c r="C2" s="2"/>
      <x:c r="D2" s="2"/>
      <x:c r="E2" s="1"/>
    </x:row>
    <x:row r="3">
      <x:c r="A3" s="3"/>
      <x:c r="B3" s="3"/>
      <x:c r="C3" s="3"/>
      <x:c r="D3" s="3"/>
      <x:c r="E3" s="3"/>
    </x:row>
    <x:row r="4">
      <x:c r="A4" s="1"/>
      <x:c r="B4" s="1"/>
      <x:c r="C4" s="1"/>
      <x:c r="D4" s="1"/>
      <x:c r="E4" s="1"/>
    </x:row>
    <x:row r="5" ht="34" customHeight="1">
      <x:c r="A5" s="8" t="str">
        <x:v>参数/来源</x:v>
      </x:c>
      <x:c r="B5" s="8" t="str">
        <x:v>输入值或路径</x:v>
      </x:c>
      <x:c r="C5" s="8" t="str">
        <x:v>单位</x:v>
      </x:c>
      <x:c r="D5" s="8" t="str">
        <x:v>口径与用途</x:v>
      </x:c>
      <x:c r="E5" s="8" t="str">
        <x:v>状态/出处</x:v>
      </x:c>
    </x:row>
    <x:row r="6" ht="52" customHeight="1">
      <x:c r="A6" s="6" t="str">
        <x:v>浅层伤害倍率</x:v>
      </x:c>
      <x:c r="B6" s="12" t="n">
        <x:v>1</x:v>
      </x:c>
      <x:c r="C6" s="6" t="str">
        <x:v>倍</x:v>
      </x:c>
      <x:c r="D6" s="6" t="str">
        <x:v>1–10层，一次直接创伤乘此倍率</x:v>
      </x:c>
      <x:c r="E6" s="6" t="str">
        <x:v>本次建议</x:v>
      </x:c>
    </x:row>
    <x:row r="7" ht="52" customHeight="1">
      <x:c r="A7" s="5" t="str">
        <x:v>中层伤害倍率</x:v>
      </x:c>
      <x:c r="B7" s="14" t="n">
        <x:v>1.25</x:v>
      </x:c>
      <x:c r="C7" s="5" t="str">
        <x:v>倍</x:v>
      </x:c>
      <x:c r="D7" s="5" t="str">
        <x:v>11–20层</x:v>
      </x:c>
      <x:c r="E7" s="5" t="str">
        <x:v>本次建议</x:v>
      </x:c>
    </x:row>
    <x:row r="8" ht="52" customHeight="1">
      <x:c r="A8" s="6" t="str">
        <x:v>深层伤害倍率</x:v>
      </x:c>
      <x:c r="B8" s="16" t="n">
        <x:v>1.5</x:v>
      </x:c>
      <x:c r="C8" s="6" t="str">
        <x:v>倍</x:v>
      </x:c>
      <x:c r="D8" s="6" t="str">
        <x:v>21–27层</x:v>
      </x:c>
      <x:c r="E8" s="6" t="str">
        <x:v>本次建议</x:v>
      </x:c>
    </x:row>
    <x:row r="9" ht="52" customHeight="1">
      <x:c r="A9" s="5" t="str">
        <x:v>边界伤害倍率</x:v>
      </x:c>
      <x:c r="B9" s="14" t="n">
        <x:v>1.75</x:v>
      </x:c>
      <x:c r="C9" s="5" t="str">
        <x:v>倍</x:v>
      </x:c>
      <x:c r="D9" s="5" t="str">
        <x:v>28–30层；不再叠加普通power成长</x:v>
      </x:c>
      <x:c r="E9" s="5" t="str">
        <x:v>本次建议</x:v>
      </x:c>
    </x:row>
    <x:row r="10" ht="52" customHeight="1">
      <x:c r="A10" s="6" t="str">
        <x:v>普通伤害上限1</x:v>
      </x:c>
      <x:c r="B10" s="12" t="n">
        <x:v>2</x:v>
      </x:c>
      <x:c r="C10" s="6" t="str">
        <x:v>点/次</x:v>
      </x:c>
      <x:c r="D10" s="6" t="str">
        <x:v>对应四层段；取施法者阶级</x:v>
      </x:c>
      <x:c r="E10" s="6" t="str">
        <x:v>本次建议</x:v>
      </x:c>
    </x:row>
    <x:row r="11" ht="52" customHeight="1">
      <x:c r="A11" s="5" t="str">
        <x:v>普通伤害上限2</x:v>
      </x:c>
      <x:c r="B11" s="18" t="n">
        <x:v>3</x:v>
      </x:c>
      <x:c r="C11" s="5" t="str">
        <x:v>点/次</x:v>
      </x:c>
      <x:c r="D11" s="5" t="str">
        <x:v>对应四层段；取施法者阶级</x:v>
      </x:c>
      <x:c r="E11" s="5" t="str">
        <x:v>本次建议</x:v>
      </x:c>
    </x:row>
    <x:row r="12" ht="52" customHeight="1">
      <x:c r="A12" s="6" t="str">
        <x:v>普通伤害上限3</x:v>
      </x:c>
      <x:c r="B12" s="12" t="n">
        <x:v>4</x:v>
      </x:c>
      <x:c r="C12" s="6" t="str">
        <x:v>点/次</x:v>
      </x:c>
      <x:c r="D12" s="6" t="str">
        <x:v>对应四层段；取施法者阶级</x:v>
      </x:c>
      <x:c r="E12" s="6" t="str">
        <x:v>本次建议</x:v>
      </x:c>
    </x:row>
    <x:row r="13" ht="52" customHeight="1">
      <x:c r="A13" s="5" t="str">
        <x:v>普通伤害上限4</x:v>
      </x:c>
      <x:c r="B13" s="18" t="n">
        <x:v>4</x:v>
      </x:c>
      <x:c r="C13" s="5" t="str">
        <x:v>点/次</x:v>
      </x:c>
      <x:c r="D13" s="5" t="str">
        <x:v>对应四层段；取施法者阶级</x:v>
      </x:c>
      <x:c r="E13" s="5" t="str">
        <x:v>本次建议</x:v>
      </x:c>
    </x:row>
    <x:row r="14" ht="52" customHeight="1">
      <x:c r="A14" s="6" t="str">
        <x:v>强烈伤害上限1</x:v>
      </x:c>
      <x:c r="B14" s="12" t="n">
        <x:v>3</x:v>
      </x:c>
      <x:c r="C14" s="6" t="str">
        <x:v>点/次</x:v>
      </x:c>
      <x:c r="D14" s="6" t="str">
        <x:v>对应四层段；取施法者阶级</x:v>
      </x:c>
      <x:c r="E14" s="6" t="str">
        <x:v>本次建议</x:v>
      </x:c>
    </x:row>
    <x:row r="15" ht="52" customHeight="1">
      <x:c r="A15" s="5" t="str">
        <x:v>强烈伤害上限2</x:v>
      </x:c>
      <x:c r="B15" s="18" t="n">
        <x:v>4</x:v>
      </x:c>
      <x:c r="C15" s="5" t="str">
        <x:v>点/次</x:v>
      </x:c>
      <x:c r="D15" s="5" t="str">
        <x:v>对应四层段；取施法者阶级</x:v>
      </x:c>
      <x:c r="E15" s="5" t="str">
        <x:v>本次建议</x:v>
      </x:c>
    </x:row>
    <x:row r="16" ht="52" customHeight="1">
      <x:c r="A16" s="6" t="str">
        <x:v>强烈伤害上限3</x:v>
      </x:c>
      <x:c r="B16" s="12" t="n">
        <x:v>5</x:v>
      </x:c>
      <x:c r="C16" s="6" t="str">
        <x:v>点/次</x:v>
      </x:c>
      <x:c r="D16" s="6" t="str">
        <x:v>对应四层段；取施法者阶级</x:v>
      </x:c>
      <x:c r="E16" s="6" t="str">
        <x:v>本次建议</x:v>
      </x:c>
    </x:row>
    <x:row r="17" ht="52" customHeight="1">
      <x:c r="A17" s="5" t="str">
        <x:v>强烈伤害上限4</x:v>
      </x:c>
      <x:c r="B17" s="18" t="n">
        <x:v>6</x:v>
      </x:c>
      <x:c r="C17" s="5" t="str">
        <x:v>点/次</x:v>
      </x:c>
      <x:c r="D17" s="5" t="str">
        <x:v>对应四层段；取施法者阶级</x:v>
      </x:c>
      <x:c r="E17" s="5" t="str">
        <x:v>本次建议</x:v>
      </x:c>
    </x:row>
    <x:row r="18" ht="52" customHeight="1">
      <x:c r="A18" s="6" t="str">
        <x:v>核心伤害上限1</x:v>
      </x:c>
      <x:c r="B18" s="12" t="n">
        <x:v>4</x:v>
      </x:c>
      <x:c r="C18" s="6" t="str">
        <x:v>点/次</x:v>
      </x:c>
      <x:c r="D18" s="6" t="str">
        <x:v>对应四层段；取施法者阶级</x:v>
      </x:c>
      <x:c r="E18" s="6" t="str">
        <x:v>本次建议</x:v>
      </x:c>
    </x:row>
    <x:row r="19" ht="52" customHeight="1">
      <x:c r="A19" s="5" t="str">
        <x:v>核心伤害上限2</x:v>
      </x:c>
      <x:c r="B19" s="18" t="n">
        <x:v>5</x:v>
      </x:c>
      <x:c r="C19" s="5" t="str">
        <x:v>点/次</x:v>
      </x:c>
      <x:c r="D19" s="5" t="str">
        <x:v>对应四层段；取施法者阶级</x:v>
      </x:c>
      <x:c r="E19" s="5" t="str">
        <x:v>本次建议</x:v>
      </x:c>
    </x:row>
    <x:row r="20" ht="52" customHeight="1">
      <x:c r="A20" s="6" t="str">
        <x:v>核心伤害上限3</x:v>
      </x:c>
      <x:c r="B20" s="12" t="n">
        <x:v>6</x:v>
      </x:c>
      <x:c r="C20" s="6" t="str">
        <x:v>点/次</x:v>
      </x:c>
      <x:c r="D20" s="6" t="str">
        <x:v>对应四层段；取施法者阶级</x:v>
      </x:c>
      <x:c r="E20" s="6" t="str">
        <x:v>本次建议</x:v>
      </x:c>
    </x:row>
    <x:row r="21" ht="52" customHeight="1">
      <x:c r="A21" s="5" t="str">
        <x:v>核心伤害上限4</x:v>
      </x:c>
      <x:c r="B21" s="18" t="n">
        <x:v>7</x:v>
      </x:c>
      <x:c r="C21" s="5" t="str">
        <x:v>点/次</x:v>
      </x:c>
      <x:c r="D21" s="5" t="str">
        <x:v>对应四层段；取施法者阶级</x:v>
      </x:c>
      <x:c r="E21" s="5" t="str">
        <x:v>本次建议</x:v>
      </x:c>
    </x:row>
    <x:row r="22" ht="52" customHeight="1">
      <x:c r="A22" s="6" t="str">
        <x:v>普通共享起手间隔</x:v>
      </x:c>
      <x:c r="B22" s="12" t="n">
        <x:v>3</x:v>
      </x:c>
      <x:c r="C22" s="6" t="str">
        <x:v>客观回合</x:v>
      </x:c>
      <x:c r="D22" s="6" t="str">
        <x:v>以上次开始蓄力为基准</x:v>
      </x:c>
      <x:c r="E22" s="6" t="str">
        <x:v>本次建议</x:v>
      </x:c>
    </x:row>
    <x:row r="23" ht="52" customHeight="1">
      <x:c r="A23" s="5" t="str">
        <x:v>强烈共享起手间隔</x:v>
      </x:c>
      <x:c r="B23" s="18" t="n">
        <x:v>3</x:v>
      </x:c>
      <x:c r="C23" s="5" t="str">
        <x:v>客观回合</x:v>
      </x:c>
      <x:c r="D23" s="5" t="str">
        <x:v>施法之外仍需完成恢复</x:v>
      </x:c>
      <x:c r="E23" s="5" t="str">
        <x:v>本次建议</x:v>
      </x:c>
    </x:row>
    <x:row r="24" ht="52" customHeight="1">
      <x:c r="A24" s="6" t="str">
        <x:v>核心共享起手间隔</x:v>
      </x:c>
      <x:c r="B24" s="12" t="n">
        <x:v>4</x:v>
      </x:c>
      <x:c r="C24" s="6" t="str">
        <x:v>客观回合</x:v>
      </x:c>
      <x:c r="D24" s="6" t="str">
        <x:v>多技能不得逐回合轮放</x:v>
      </x:c>
      <x:c r="E24" s="6" t="str">
        <x:v>本次建议</x:v>
      </x:c>
    </x:row>
    <x:row r="25" ht="52" customHeight="1">
      <x:c r="A25" s="5" t="str">
        <x:v>普通首次警戒延迟</x:v>
      </x:c>
      <x:c r="B25" s="18" t="n">
        <x:v>2</x:v>
      </x:c>
      <x:c r="C25" s="5" t="str">
        <x:v>客观回合</x:v>
      </x:c>
      <x:c r="D25" s="5" t="str">
        <x:v>首次一次；同场另按出生序错开0/1</x:v>
      </x:c>
      <x:c r="E25" s="5" t="str">
        <x:v>本次建议</x:v>
      </x:c>
    </x:row>
    <x:row r="26" ht="52" customHeight="1">
      <x:c r="A26" s="6" t="str">
        <x:v>强烈首次警戒延迟</x:v>
      </x:c>
      <x:c r="B26" s="12" t="n">
        <x:v>2</x:v>
      </x:c>
      <x:c r="C26" s="6" t="str">
        <x:v>客观回合</x:v>
      </x:c>
      <x:c r="D26" s="6" t="str">
        <x:v>丢失视线不刷新</x:v>
      </x:c>
      <x:c r="E26" s="6" t="str">
        <x:v>本次建议</x:v>
      </x:c>
    </x:row>
    <x:row r="27" ht="52" customHeight="1">
      <x:c r="A27" s="5" t="str">
        <x:v>核心首次警戒延迟</x:v>
      </x:c>
      <x:c r="B27" s="18" t="n">
        <x:v>3</x:v>
      </x:c>
      <x:c r="C27" s="5" t="str">
        <x:v>客观回合</x:v>
      </x:c>
      <x:c r="D27" s="5" t="str">
        <x:v>阶段切换不清CD</x:v>
      </x:c>
      <x:c r="E27" s="5" t="str">
        <x:v>本次建议</x:v>
      </x:c>
    </x:row>
    <x:row r="28" ht="52" customHeight="1">
      <x:c r="A28" s="6" t="str">
        <x:v>场每拍伤害</x:v>
      </x:c>
      <x:c r="B28" s="12" t="n">
        <x:v>1</x:v>
      </x:c>
      <x:c r="C28" s="6" t="str">
        <x:v>点</x:v>
      </x:c>
      <x:c r="D28" s="6" t="str">
        <x:v>敌方技能场同格同拍取最高，不叠加</x:v>
      </x:c>
      <x:c r="E28" s="6" t="str">
        <x:v>沿近期火/电降值基线</x:v>
      </x:c>
    </x:row>
    <x:row r="29" ht="52" customHeight="1">
      <x:c r="A29" s="5" t="str">
        <x:v>场默认寿命</x:v>
      </x:c>
      <x:c r="B29" s="18" t="n">
        <x:v>2</x:v>
      </x:c>
      <x:c r="C29" s="5" t="str">
        <x:v>客观回合</x:v>
      </x:c>
      <x:c r="D29" s="5" t="str">
        <x:v>出生片不扣伤，之后两拍扣伤</x:v>
      </x:c>
      <x:c r="E29" s="5" t="str">
        <x:v>本次建议</x:v>
      </x:c>
    </x:row>
    <x:row r="30" ht="52" customHeight="1">
      <x:c r="A30" s="6" t="str">
        <x:v>控制保护窗口</x:v>
      </x:c>
      <x:c r="B30" s="12" t="n">
        <x:v>4</x:v>
      </x:c>
      <x:c r="C30" s="6" t="str">
        <x:v>客观回合</x:v>
      </x:c>
      <x:c r="D30" s="6" t="str">
        <x:v>主动负面同族结束后不能刷新</x:v>
      </x:c>
      <x:c r="E30" s="6" t="str">
        <x:v>本次建议</x:v>
      </x:c>
    </x:row>
    <x:row r="31" ht="52" customHeight="1">
      <x:c r="A31" s="5" t="str">
        <x:v>普通/强烈并发预警上限</x:v>
      </x:c>
      <x:c r="B31" s="18" t="n">
        <x:v>2</x:v>
      </x:c>
      <x:c r="C31" s="5" t="str">
        <x:v>个</x:v>
      </x:c>
      <x:c r="D31" s="5" t="str">
        <x:v>其余就绪技能等候；预警不能同动作创建并命中</x:v>
      </x:c>
      <x:c r="E31" s="5" t="str">
        <x:v>本次建议</x:v>
      </x:c>
    </x:row>
    <x:row r="32" ht="52" customHeight="1">
      <x:c r="A32" s="6" t="str">
        <x:v>核心房并发预警上限</x:v>
      </x:c>
      <x:c r="B32" s="12" t="n">
        <x:v>3</x:v>
      </x:c>
      <x:c r="C32" s="6" t="str">
        <x:v>个</x:v>
      </x:c>
      <x:c r="D32" s="6" t="str">
        <x:v>含核心，检查预警并集的可达安全格</x:v>
      </x:c>
      <x:c r="E32" s="6" t="str">
        <x:v>本次建议</x:v>
      </x:c>
    </x:row>
    <x:row r="33" ht="52" customHeight="1">
      <x:c r="A33" s="5" t="str">
        <x:v>召唤全遭遇同时上限</x:v>
      </x:c>
      <x:c r="B33" s="18" t="n">
        <x:v>3</x:v>
      </x:c>
      <x:c r="C33" s="5" t="str">
        <x:v>只</x:v>
      </x:c>
      <x:c r="D33" s="5" t="str">
        <x:v>强烈同源1、核心同源2；无奖励无主动</x:v>
      </x:c>
      <x:c r="E33" s="5" t="str">
        <x:v>本次建议</x:v>
      </x:c>
    </x:row>
    <x:row r="34" ht="52" customHeight="1">
      <x:c r="A34" s="6" t="str">
        <x:v>普通/强烈累计治疗比例</x:v>
      </x:c>
      <x:c r="B34" s="20" t="n">
        <x:v>0.2</x:v>
      </x:c>
      <x:c r="C34" s="6" t="str">
        <x:v>比例</x:v>
      </x:c>
      <x:c r="D34" s="6" t="str">
        <x:v>首次最大完整度×比例向下取整</x:v>
      </x:c>
      <x:c r="E34" s="6" t="str">
        <x:v>本次建议</x:v>
      </x:c>
    </x:row>
    <x:row r="35" ht="52" customHeight="1">
      <x:c r="A35" s="5" t="str">
        <x:v>核心累计治疗比例</x:v>
      </x:c>
      <x:c r="B35" s="22" t="n">
        <x:v>0.1</x:v>
      </x:c>
      <x:c r="C35" s="5" t="str">
        <x:v>比例</x:v>
      </x:c>
      <x:c r="D35" s="5" t="str">
        <x:v>离视线/脱战/读档不刷新预算</x:v>
      </x:c>
      <x:c r="E35" s="5" t="str">
        <x:v>本次建议</x:v>
      </x:c>
    </x:row>
    <x:row r="36" ht="52" customHeight="1">
      <x:c r="A36" s="6" t="str">
        <x:v>高档全地图字符预算</x:v>
      </x:c>
      <x:c r="B36" s="12" t="n">
        <x:v>24</x:v>
      </x:c>
      <x:c r="C36" s="6" t="str">
        <x:v>字符格/帧</x:v>
      </x:c>
      <x:c r="D36" s="6" t="str">
        <x:v>与原弹道、火舌共用，不各领一份</x:v>
      </x:c>
      <x:c r="E36" s="6" t="str">
        <x:v>近期FX基线</x:v>
      </x:c>
    </x:row>
    <x:row r="37" ht="52" customHeight="1">
      <x:c r="A37" s="5" t="str">
        <x:v>低档全地图字符预算</x:v>
      </x:c>
      <x:c r="B37" s="18" t="n">
        <x:v>12</x:v>
      </x:c>
      <x:c r="C37" s="5" t="str">
        <x:v>字符格/帧</x:v>
      </x:c>
      <x:c r="D37" s="5" t="str">
        <x:v>单技能再取预设更小上限</x:v>
      </x:c>
      <x:c r="E37" s="5" t="str">
        <x:v>近期FX基线</x:v>
      </x:c>
    </x:row>
    <x:row r="38" ht="52" customHeight="1">
      <x:c r="A38" s="6" t="str">
        <x:v>新技能可见格装饰比例</x:v>
      </x:c>
      <x:c r="B38" s="20" t="n">
        <x:v>0.05</x:v>
      </x:c>
      <x:c r="C38" s="6" t="str">
        <x:v>比例</x:v>
      </x:c>
      <x:c r="D38" s="6" t="str">
        <x:v>floor(可见格×比例)，至少1；演员保护优先</x:v>
      </x:c>
      <x:c r="E38" s="6" t="str">
        <x:v>本次建议</x:v>
      </x:c>
    </x:row>
    <x:row r="39" ht="52" customHeight="1">
      <x:c r="A39" s="5" t="str">
        <x:v>高档活跃释放</x:v>
      </x:c>
      <x:c r="B39" s="18" t="n">
        <x:v>20</x:v>
      </x:c>
      <x:c r="C39" s="5" t="str">
        <x:v>FPS</x:v>
      </x:c>
      <x:c r="D39" s="5" t="str">
        <x:v>结束恢复10；动画不推进世界</x:v>
      </x:c>
      <x:c r="E39" s="5" t="str">
        <x:v>现有写回链路</x:v>
      </x:c>
    </x:row>
    <x:row r="40" ht="52" customHeight="1">
      <x:c r="A40" s="6" t="str">
        <x:v>低档/预警/环境</x:v>
      </x:c>
      <x:c r="B40" s="12" t="n">
        <x:v>10</x:v>
      </x:c>
      <x:c r="C40" s="6" t="str">
        <x:v>FPS</x:v>
      </x:c>
      <x:c r="D40" s="6" t="str">
        <x:v>关闭档保留静态战术预警，无粒子</x:v>
      </x:c>
      <x:c r="E40" s="6" t="str">
        <x:v>现有写回链路</x:v>
      </x:c>
    </x:row>
    <x:row r="41" ht="52" customHeight="1">
      <x:c r="A41" s="5" t="str">
        <x:v>软控制总移步加值上限</x:v>
      </x:c>
      <x:c r="B41" s="14" t="n">
        <x:v>0.5</x:v>
      </x:c>
      <x:c r="C41" s="5" t="str">
        <x:v>客观回合/步</x:v>
      </x:c>
      <x:c r="D41" s="5" t="str">
        <x:v>取最高，不累加，不冻结攻击</x:v>
      </x:c>
      <x:c r="E41" s="5" t="str">
        <x:v>本次建议</x:v>
      </x:c>
    </x:row>
    <x:row r="42" ht="52" customHeight="1">
      <x:c r="A42" s="6" t="str">
        <x:v>普通遭遇中位耗时增幅上限</x:v>
      </x:c>
      <x:c r="B42" s="20" t="n">
        <x:v>0.15</x:v>
      </x:c>
      <x:c r="C42" s="6" t="str">
        <x:v>比例</x:v>
      </x:c>
      <x:c r="D42" s="6" t="str">
        <x:v>需未修改/修改成对探针；尚未验证</x:v>
      </x:c>
      <x:c r="E42" s="6" t="str">
        <x:v>本次验收目标</x:v>
      </x:c>
    </x:row>
    <x:row r="43" ht="52" customHeight="1">
      <x:c r="A43" s="5" t="str">
        <x:v>强烈遭遇中位耗时增幅上限</x:v>
      </x:c>
      <x:c r="B43" s="22" t="n">
        <x:v>0.2</x:v>
      </x:c>
      <x:c r="C43" s="5" t="str">
        <x:v>比例</x:v>
      </x:c>
      <x:c r="D43" s="5" t="str">
        <x:v>有效攻击次数目标4–7，非已实测</x:v>
      </x:c>
      <x:c r="E43" s="5" t="str">
        <x:v>本次验收目标</x:v>
      </x:c>
    </x:row>
    <x:row r="44" ht="52" customHeight="1">
      <x:c r="A44" s="6" t="str">
        <x:v>核心遭遇总耗时增幅上限</x:v>
      </x:c>
      <x:c r="B44" s="20" t="n">
        <x:v>0.15</x:v>
      </x:c>
      <x:c r="C44" s="6" t="str">
        <x:v>比例</x:v>
      </x:c>
      <x:c r="D44" s="6" t="str">
        <x:v>含残影、阶段、反制；尚未验证</x:v>
      </x:c>
      <x:c r="E44" s="6" t="str">
        <x:v>本次验收目标</x:v>
      </x:c>
    </x:row>
    <x:row r="45" ht="52" customHeight="1">
      <x:c r="A45" s="5" t="str">
        <x:v>普通/强烈20回合总创伤上限</x:v>
      </x:c>
      <x:c r="B45" s="14" t="n">
        <x:v>1.15</x:v>
      </x:c>
      <x:c r="C45" s="5" t="str">
        <x:v>原基线倍数</x:v>
      </x:c>
      <x:c r="D45" s="5" t="str">
        <x:v>普攻+技能+场+残影，未躲避成对对照</x:v>
      </x:c>
      <x:c r="E45" s="5" t="str">
        <x:v>本次验收目标</x:v>
      </x:c>
    </x:row>
    <x:row r="46" ht="52" customHeight="1">
      <x:c r="A46" s="6" t="str">
        <x:v>核心20回合总创伤上限</x:v>
      </x:c>
      <x:c r="B46" s="24" t="n">
        <x:v>1.1</x:v>
      </x:c>
      <x:c r="C46" s="6" t="str">
        <x:v>原基线倍数</x:v>
      </x:c>
      <x:c r="D46" s="6" t="str">
        <x:v>不只测单发伤害；尚未验证</x:v>
      </x:c>
      <x:c r="E46" s="6" t="str">
        <x:v>本次验收目标</x:v>
      </x:c>
    </x:row>
    <x:row r="47" ht="52" customHeight="1">
      <x:c r="A47" s="5" t="str">
        <x:v>主层/位面成长来源</x:v>
      </x:c>
      <x:c r="B47" s="5" t="str">
        <x:v>depth / entry_depth</x:v>
      </x:c>
      <x:c r="C47" s="5" t="str">
        <x:v>规则</x:v>
      </x:c>
      <x:c r="D47" s="5" t="str">
        <x:v>梦中梦使用入梦主层，不能用子层号双重成长</x:v>
      </x:c>
      <x:c r="E47" s="5" t="str">
        <x:v>现有层级语义＋本次要求</x:v>
      </x:c>
    </x:row>
    <x:row r="48" ht="52" customHeight="1">
      <x:c r="A48" s="6" t="str">
        <x:v>CD语义</x:v>
      </x:c>
      <x:c r="B48" s="6" t="str">
        <x:v>完成施放后开始计</x:v>
      </x:c>
      <x:c r="C48" s="6" t="str">
        <x:v>规则</x:v>
      </x:c>
      <x:c r="D48" s="6" t="str">
        <x:v>下次开始蓄力间隔=W+max(CD,恢复)；CD不含W</x:v>
      </x:c>
      <x:c r="E48" s="6" t="str">
        <x:v>本次定义</x:v>
      </x:c>
    </x:row>
    <x:row r="49" ht="52" customHeight="1">
      <x:c r="A49" s="5" t="str">
        <x:v>当前/提案界限</x:v>
      </x:c>
      <x:c r="B49" s="5" t="str">
        <x:v>全部新增技能未实装</x:v>
      </x:c>
      <x:c r="C49" s="5" t="str">
        <x:v>状态</x:v>
      </x:c>
      <x:c r="D49" s="5" t="str">
        <x:v>本表是开发提案；不修改游戏、不同步既有数值总表</x:v>
      </x:c>
      <x:c r="E49" s="5" t="str">
        <x:v>本次任务范围</x:v>
      </x:c>
    </x:row>
    <x:row r="50" ht="52" customHeight="1">
      <x:c r="A50" s="6" t="str">
        <x:v>现状定义</x:v>
      </x:c>
      <x:c r="B50" s="6" t="str">
        <x:v>dream_demo/data/anomalies.py</x:v>
      </x:c>
      <x:c r="C50" s="6" t="str">
        <x:v>来源</x:v>
      </x:c>
      <x:c r="D50" s="6" t="str">
        <x:v>2026-10-08本地读取；56种，36普通/16强烈/4核心；10种配置skills（含wall_break）。</x:v>
      </x:c>
      <x:c r="E50" s="6" t="str">
        <x:v>本地审计或官方页面，2026-10-08</x:v>
      </x:c>
    </x:row>
    <x:row r="51" ht="52" customHeight="1">
      <x:c r="A51" s="5" t="str">
        <x:v>行为与时间</x:v>
      </x:c>
      <x:c r="B51" s="5" t="str">
        <x:v>dream_demo/core/enemies.py；tempo.py；state.py</x:v>
      </x:c>
      <x:c r="C51" s="5" t="str">
        <x:v>来源</x:v>
      </x:c>
      <x:c r="D51" s="5" t="str">
        <x:v>周期技能、贴身亚回合出手、_core_actives、整数world tick。</x:v>
      </x:c>
      <x:c r="E51" s="5" t="str">
        <x:v>本地审计或官方页面，2026-10-08</x:v>
      </x:c>
    </x:row>
    <x:row r="52" ht="52" customHeight="1">
      <x:c r="A52" s="6" t="str">
        <x:v>存档</x:v>
      </x:c>
      <x:c r="B52" s="6" t="str">
        <x:v>dream_demo/core/entities.py；dream_demo/persistence.py</x:v>
      </x:c>
      <x:c r="C52" s="6" t="str">
        <x:v>来源</x:v>
      </x:c>
      <x:c r="D52" s="6" t="str">
        <x:v>Entity asdict；旧skill_clocks下标；enemy_bombs排除保存。</x:v>
      </x:c>
      <x:c r="E52" s="6" t="str">
        <x:v>本地审计或官方页面，2026-10-08</x:v>
      </x:c>
    </x:row>
    <x:row r="53" ht="52" customHeight="1">
      <x:c r="A53" s="5" t="str">
        <x:v>近期环境基线</x:v>
      </x:c>
      <x:c r="B53" s="5" t="str">
        <x:v>docs/throw-and-environment-upgrade-verification.md</x:v>
      </x:c>
      <x:c r="C53" s="5" t="str">
        <x:v>来源</x:v>
      </x:c>
      <x:c r="D53" s="5" t="str">
        <x:v>火/电每回合1，材料资源已降；方案不能再整体上调。</x:v>
      </x:c>
      <x:c r="E53" s="5" t="str">
        <x:v>本地审计或官方页面，2026-10-08</x:v>
      </x:c>
    </x:row>
    <x:row r="54" ht="52" customHeight="1">
      <x:c r="A54" s="6" t="str">
        <x:v>DCSS官方源码</x:v>
      </x:c>
      <x:c r="B54" s="6" t="str">
        <x:v>https://github.com/crawl/crawl/blob/master/crawl-ref/source/mon-cast.cc</x:v>
      </x:c>
      <x:c r="C54" s="6" t="str">
        <x:v>来源</x:v>
      </x:c>
      <x:c r="D54" s="6" t="str">
        <x:v>2026-10-08读取master；借鉴效用检查、目标验证、特殊冷却；不照搬随机选法。</x:v>
      </x:c>
      <x:c r="E54" s="6" t="str">
        <x:v>本地审计或官方页面，2026-10-08</x:v>
      </x:c>
    </x:row>
    <x:row r="55" ht="52" customHeight="1">
      <x:c r="A55" s="5" t="str">
        <x:v>DCSS官方手册</x:v>
      </x:c>
      <x:c r="B55" s="5" t="str">
        <x:v>https://github.com/crawl/crawl/blob/master/crawl-ref/docs/crawl_manual.rst</x:v>
      </x:c>
      <x:c r="C55" s="5" t="str">
        <x:v>来源</x:v>
      </x:c>
      <x:c r="D55" s="5" t="str">
        <x:v>查看怪物可获能力、抗性说明；借鉴战术信息可读性。</x:v>
      </x:c>
      <x:c r="E55" s="5" t="str">
        <x:v>本地审计或官方页面，2026-10-08</x:v>
      </x:c>
    </x:row>
    <x:row r="56" ht="52" customHeight="1">
      <x:c r="A56" s="6" t="str">
        <x:v>ToME引擎文档</x:v>
      </x:c>
      <x:c r="B56" s="6" t="str">
        <x:v>https://te4.org/docs/t-engine4/1.0.0beta12/modules/engine.interface.ActorTalents.html</x:v>
      </x:c>
      <x:c r="C56" s="6" t="str">
        <x:v>来源</x:v>
      </x:c>
      <x:c r="D56" s="6" t="str">
        <x:v>旧beta文档；仅借鉴定义、使用前检查、冷却生命周期概念，不使用其旧数值。</x:v>
      </x:c>
      <x:c r="E56" s="6" t="str">
        <x:v>本地审计或官方页面，2026-10-08</x:v>
      </x:c>
    </x:row>
    <x:row r="57" ht="52" customHeight="1">
      <x:c r="A57" s="5" t="str">
        <x:v>提案数值</x:v>
      </x:c>
      <x:c r="B57" s="5" t="str">
        <x:v>本次设计建议，非已完成平衡结果</x:v>
      </x:c>
      <x:c r="C57" s="5" t="str">
        <x:v>来源</x:v>
      </x:c>
      <x:c r="D57" s="5" t="str">
        <x:v>技能基础值、CD、演出时长和预算均待实现、探针与人工游玩验证。</x:v>
      </x:c>
      <x:c r="E57" s="5" t="str">
        <x:v>本地审计或官方页面，2026-10-08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4af1351183d948ca"/>
  </x:tableParts>
</x:worksheet>
</file>